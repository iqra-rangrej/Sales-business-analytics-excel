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ba34b1edc3bd11d/Desktop/Excel/Pr.2 Analyzer/"/>
    </mc:Choice>
  </mc:AlternateContent>
  <xr:revisionPtr revIDLastSave="1810" documentId="11_DCFA36CE907F8B0EE9134C5DC5BF4AC8B9778FB6" xr6:coauthVersionLast="47" xr6:coauthVersionMax="47" xr10:uidLastSave="{674BA200-CA85-49B6-BBFB-C1FBFBFD359C}"/>
  <bookViews>
    <workbookView xWindow="-108" yWindow="-108" windowWidth="23256" windowHeight="12456" tabRatio="664" firstSheet="2" activeTab="8" xr2:uid="{00000000-000D-0000-FFFF-FFFF00000000}"/>
  </bookViews>
  <sheets>
    <sheet name="Dataset" sheetId="2" r:id="rId1"/>
    <sheet name="Dataset_Clean" sheetId="10" r:id="rId2"/>
    <sheet name="Customer Analysis" sheetId="3" r:id="rId3"/>
    <sheet name="What-IF Analysis" sheetId="4" r:id="rId4"/>
    <sheet name="Regression" sheetId="11" r:id="rId5"/>
    <sheet name="Descriptive Stats" sheetId="13" r:id="rId6"/>
    <sheet name="Monthly Sales" sheetId="7" r:id="rId7"/>
    <sheet name="Pivot Analysis" sheetId="14" r:id="rId8"/>
    <sheet name="Dashboard" sheetId="9" r:id="rId9"/>
  </sheets>
  <definedNames>
    <definedName name="_xlnm._FilterDatabase" localSheetId="2" hidden="1">'Customer Analysis'!$A$4:$F$34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9" l="1"/>
  <c r="K8" i="9"/>
  <c r="G8" i="9"/>
  <c r="C8" i="9"/>
  <c r="D6" i="7" l="1"/>
  <c r="D7" i="7"/>
  <c r="D8" i="7"/>
  <c r="D9" i="7"/>
  <c r="D10" i="7"/>
  <c r="D11" i="7"/>
  <c r="D12" i="7"/>
  <c r="D13" i="7"/>
  <c r="D14" i="7"/>
  <c r="D15" i="7"/>
  <c r="D16" i="7"/>
  <c r="D5" i="7"/>
  <c r="C6" i="7"/>
  <c r="C7" i="7"/>
  <c r="C8" i="7"/>
  <c r="C9" i="7"/>
  <c r="C10" i="7"/>
  <c r="C11" i="7"/>
  <c r="C12" i="7"/>
  <c r="C13" i="7"/>
  <c r="C14" i="7"/>
  <c r="C15" i="7"/>
  <c r="C16" i="7"/>
  <c r="C5" i="7"/>
  <c r="B5" i="7"/>
  <c r="B6" i="7"/>
  <c r="B7" i="7"/>
  <c r="B8" i="7"/>
  <c r="B9" i="7"/>
  <c r="B10" i="7"/>
  <c r="B11" i="7"/>
  <c r="B12" i="7"/>
  <c r="B13" i="7"/>
  <c r="B14" i="7"/>
  <c r="B15" i="7"/>
  <c r="B16" i="7"/>
  <c r="B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B7" i="4" l="1"/>
  <c r="D7" i="4" s="1"/>
  <c r="B6" i="4"/>
  <c r="D6" i="4" s="1"/>
  <c r="B5" i="4"/>
  <c r="D5" i="4" s="1"/>
  <c r="A5" i="3" a="1"/>
  <c r="A5" i="3" s="1"/>
  <c r="E5" i="3" s="1"/>
  <c r="B32" i="3" l="1"/>
  <c r="B24" i="3"/>
  <c r="B16" i="3"/>
  <c r="B8" i="3"/>
  <c r="C30" i="3"/>
  <c r="C22" i="3"/>
  <c r="C14" i="3"/>
  <c r="C6" i="3"/>
  <c r="D28" i="3"/>
  <c r="D20" i="3"/>
  <c r="D12" i="3"/>
  <c r="E34" i="3"/>
  <c r="E26" i="3"/>
  <c r="E10" i="3"/>
  <c r="B31" i="3"/>
  <c r="B23" i="3"/>
  <c r="B15" i="3"/>
  <c r="B7" i="3"/>
  <c r="C29" i="3"/>
  <c r="C21" i="3"/>
  <c r="C13" i="3"/>
  <c r="D5" i="3"/>
  <c r="D27" i="3"/>
  <c r="D19" i="3"/>
  <c r="D11" i="3"/>
  <c r="E33" i="3"/>
  <c r="E25" i="3"/>
  <c r="E17" i="3"/>
  <c r="E9" i="3"/>
  <c r="B30" i="3"/>
  <c r="B22" i="3"/>
  <c r="B14" i="3"/>
  <c r="B6" i="3"/>
  <c r="C28" i="3"/>
  <c r="C20" i="3"/>
  <c r="C12" i="3"/>
  <c r="D34" i="3"/>
  <c r="D26" i="3"/>
  <c r="D18" i="3"/>
  <c r="D10" i="3"/>
  <c r="E32" i="3"/>
  <c r="E24" i="3"/>
  <c r="E16" i="3"/>
  <c r="E8" i="3"/>
  <c r="B29" i="3"/>
  <c r="B21" i="3"/>
  <c r="B13" i="3"/>
  <c r="C5" i="3"/>
  <c r="C27" i="3"/>
  <c r="C19" i="3"/>
  <c r="C11" i="3"/>
  <c r="D33" i="3"/>
  <c r="D25" i="3"/>
  <c r="D17" i="3"/>
  <c r="D9" i="3"/>
  <c r="E31" i="3"/>
  <c r="E23" i="3"/>
  <c r="E15" i="3"/>
  <c r="E7" i="3"/>
  <c r="E18" i="3"/>
  <c r="B28" i="3"/>
  <c r="B20" i="3"/>
  <c r="B12" i="3"/>
  <c r="C34" i="3"/>
  <c r="C26" i="3"/>
  <c r="C18" i="3"/>
  <c r="C10" i="3"/>
  <c r="D32" i="3"/>
  <c r="D24" i="3"/>
  <c r="D16" i="3"/>
  <c r="D8" i="3"/>
  <c r="E30" i="3"/>
  <c r="E22" i="3"/>
  <c r="E14" i="3"/>
  <c r="E6" i="3"/>
  <c r="B5" i="3"/>
  <c r="B27" i="3"/>
  <c r="B19" i="3"/>
  <c r="B11" i="3"/>
  <c r="C33" i="3"/>
  <c r="C25" i="3"/>
  <c r="C17" i="3"/>
  <c r="C9" i="3"/>
  <c r="D31" i="3"/>
  <c r="D23" i="3"/>
  <c r="D15" i="3"/>
  <c r="D7" i="3"/>
  <c r="E29" i="3"/>
  <c r="E21" i="3"/>
  <c r="E13" i="3"/>
  <c r="B34" i="3"/>
  <c r="B26" i="3"/>
  <c r="B18" i="3"/>
  <c r="B10" i="3"/>
  <c r="C32" i="3"/>
  <c r="C24" i="3"/>
  <c r="C16" i="3"/>
  <c r="C8" i="3"/>
  <c r="D30" i="3"/>
  <c r="D22" i="3"/>
  <c r="D14" i="3"/>
  <c r="D6" i="3"/>
  <c r="E28" i="3"/>
  <c r="E20" i="3"/>
  <c r="E12" i="3"/>
  <c r="B33" i="3"/>
  <c r="B25" i="3"/>
  <c r="B17" i="3"/>
  <c r="B9" i="3"/>
  <c r="C31" i="3"/>
  <c r="C23" i="3"/>
  <c r="C15" i="3"/>
  <c r="C7" i="3"/>
  <c r="D29" i="3"/>
  <c r="D21" i="3"/>
  <c r="D13" i="3"/>
  <c r="E27" i="3"/>
  <c r="E19" i="3"/>
  <c r="E11" i="3"/>
  <c r="F8" i="3" l="1"/>
  <c r="F11" i="3"/>
  <c r="F22" i="3"/>
  <c r="F21" i="3"/>
  <c r="F18" i="3"/>
  <c r="F26" i="3"/>
  <c r="F25" i="3"/>
  <c r="F14" i="3"/>
  <c r="F23" i="3"/>
  <c r="F16" i="3"/>
  <c r="F12" i="3"/>
  <c r="F10" i="3"/>
  <c r="F20" i="3"/>
  <c r="F27" i="3"/>
  <c r="F29" i="3"/>
  <c r="F17" i="3"/>
  <c r="F5" i="3"/>
  <c r="F34" i="3"/>
  <c r="F7" i="3"/>
  <c r="F24" i="3"/>
  <c r="F13" i="3"/>
  <c r="F31" i="3"/>
  <c r="F19" i="3"/>
  <c r="F30" i="3"/>
  <c r="F9" i="3"/>
  <c r="F28" i="3"/>
  <c r="F33" i="3"/>
  <c r="F6" i="3"/>
  <c r="F15" i="3"/>
  <c r="F32" i="3"/>
  <c r="AE4" i="9" l="1"/>
  <c r="AE5" i="9"/>
  <c r="AE6" i="9"/>
  <c r="AE7" i="9"/>
  <c r="AE8" i="9"/>
  <c r="AF7" i="9"/>
  <c r="AF8" i="9"/>
  <c r="AF9" i="9"/>
  <c r="AF10" i="9"/>
  <c r="AE12" i="9"/>
  <c r="AF11" i="9"/>
  <c r="AF4" i="9"/>
  <c r="AF12" i="9"/>
  <c r="AF5" i="9"/>
  <c r="AF3" i="9"/>
  <c r="AF6" i="9"/>
  <c r="AE3" i="9"/>
  <c r="AE9" i="9"/>
  <c r="AE10" i="9"/>
  <c r="AE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Iqra Rangrej</author>
  </authors>
  <commentList>
    <comment ref="A9" authorId="0" shapeId="0" xr:uid="{3BAD5693-EAB1-4AAB-A369-F8A1C17CECF3}">
      <text>
        <r>
          <rPr>
            <b/>
            <sz val="9"/>
            <color indexed="81"/>
            <rFont val="Tahoma"/>
            <family val="2"/>
          </rPr>
          <t>How to Use :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8"/>
            <color indexed="81"/>
            <rFont val="Tahoma"/>
            <family val="2"/>
          </rPr>
          <t>- Change the Percentage in Column C (eg., 5%, 10%,15%, etc.) 
- The What-If Value in Column D will update automatically.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<sst xmlns="http://schemas.openxmlformats.org/spreadsheetml/2006/main" count="1736" uniqueCount="150">
  <si>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</si>
  <si>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</si>
  <si>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</si>
  <si>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</si>
  <si>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</si>
  <si>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</si>
  <si>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</si>
  <si>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</si>
  <si>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</si>
  <si>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</si>
  <si>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</si>
  <si>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</si>
  <si>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</si>
  <si>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</si>
  <si>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</si>
  <si>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</si>
  <si>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</si>
  <si>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</si>
  <si>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</si>
  <si>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</si>
  <si>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</si>
  <si>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</si>
  <si>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</si>
  <si>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</si>
  <si>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</si>
  <si>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</si>
  <si>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</si>
  <si>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</si>
  <si>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</si>
  <si>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</si>
  <si>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</si>
  <si>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</si>
  <si>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</si>
  <si>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</si>
  <si>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</si>
  <si>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</si>
  <si>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</si>
  <si>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</si>
  <si>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</si>
  <si>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</si>
  <si>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</si>
  <si>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</si>
  <si>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</si>
  <si>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</si>
  <si>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</si>
  <si>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</si>
  <si>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</si>
  <si>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</si>
  <si>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</si>
  <si>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</si>
  <si>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</si>
  <si>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</si>
  <si>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</si>
  <si>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</si>
  <si>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</si>
  <si>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</si>
  <si>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</si>
  <si>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</si>
  <si>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</si>
  <si>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</si>
  <si>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</si>
  <si>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</si>
  <si>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</si>
  <si>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</si>
  <si>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</si>
  <si>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</si>
  <si>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</si>
  <si>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</si>
  <si>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</si>
  <si>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</si>
  <si>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</si>
  <si>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</si>
  <si>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</si>
  <si>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</si>
  <si>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</si>
  <si>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</si>
  <si>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 Sales</t>
  </si>
  <si>
    <t>Total Quantity</t>
  </si>
  <si>
    <t>Total Profit</t>
  </si>
  <si>
    <t>Total Orders</t>
  </si>
  <si>
    <t>Rank</t>
  </si>
  <si>
    <t>Top 10 Customers (Highlighted in Green)</t>
  </si>
  <si>
    <t>Particular</t>
  </si>
  <si>
    <t>Current Value</t>
  </si>
  <si>
    <t>Change %</t>
  </si>
  <si>
    <t>What-If Value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</si>
  <si>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</si>
  <si>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</si>
  <si>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</si>
  <si>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</si>
  <si>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</si>
  <si>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</si>
  <si>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</si>
  <si>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</si>
  <si>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</si>
  <si>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</si>
  <si>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</si>
  <si>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</si>
  <si>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</si>
  <si>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</si>
  <si>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</si>
  <si>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</si>
  <si>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</si>
  <si>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</si>
  <si>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</si>
  <si>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</si>
  <si>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</si>
  <si>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</si>
  <si>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</si>
  <si>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</si>
  <si>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</si>
  <si>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Profit</t>
  </si>
  <si>
    <t>Residuals</t>
  </si>
  <si>
    <t>Source</t>
  </si>
  <si>
    <t>Term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</si>
  <si>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</si>
  <si>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</si>
  <si>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</si>
  <si>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</si>
  <si>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</si>
  <si>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</si>
  <si>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</si>
  <si>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</si>
  <si>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</si>
  <si>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</si>
  <si>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</si>
  <si>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</si>
  <si>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N/A</t>
  </si>
  <si>
    <t>Statistics</t>
  </si>
  <si>
    <t>Month</t>
  </si>
  <si>
    <t>Growth %</t>
  </si>
  <si>
    <t>Trend</t>
  </si>
  <si>
    <t>Sum of Sales</t>
  </si>
  <si>
    <t>Grand Total</t>
  </si>
  <si>
    <t>Sales Performance | Customer Insight | Regional &amp; Product Analysis</t>
  </si>
  <si>
    <t>💰 TOTAL SALES</t>
  </si>
  <si>
    <t>📈 TOTAL PROFIT</t>
  </si>
  <si>
    <t>📦 TOTAL QUANTITY</t>
  </si>
  <si>
    <t>🧾 TOTAL ORDERS</t>
  </si>
  <si>
    <t>Product Category</t>
  </si>
  <si>
    <t>Category</t>
  </si>
  <si>
    <t>Customer ID</t>
  </si>
  <si>
    <t>Excel Data Analytics Project | Sales &amp; Customer Performance Analysis</t>
  </si>
  <si>
    <t>📊 SALES &amp; BUSINESS ANALYTICS DASHBOARD</t>
  </si>
  <si>
    <t>📈 REGRESSION ANALYSIS</t>
  </si>
  <si>
    <t>👥 CUSTOMER SALES ANALYSIS</t>
  </si>
  <si>
    <t>🎯 WHAT-IF ANALYSIS</t>
  </si>
  <si>
    <t>📊 DESCRIPTIVE STATISTICS</t>
  </si>
  <si>
    <t>📅 MONTHLY SALES GROWTH</t>
  </si>
  <si>
    <t>📊 PIVOT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</si>
</sst>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₹&quot;\ #,##0.00"/>
    <numFmt numFmtId="166" formatCode="0.00000"/>
    <numFmt numFmtId="167" formatCode="0.0000"/>
    <numFmt numFmtId="168" formatCode="0.000"/>
    <numFmt numFmtId="169" formatCode="mmm\ yyyy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20"/>
      <color theme="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i/>
      <sz val="16"/>
      <color theme="4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4" tint="-0.499984740745262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9" fillId="0" borderId="2" xfId="0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15" fillId="5" borderId="6" xfId="0" applyFont="1" applyFill="1" applyBorder="1" applyAlignment="1">
      <alignment vertical="center"/>
    </xf>
    <xf numFmtId="0" fontId="15" fillId="5" borderId="8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vertical="center"/>
    </xf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4" fontId="0" fillId="0" borderId="0" xfId="0" applyNumberFormat="1"/>
    <xf numFmtId="0" fontId="7" fillId="0" borderId="0" xfId="0" applyFont="1"/>
    <xf numFmtId="169" fontId="0" fillId="5" borderId="1" xfId="0" applyNumberForma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7" fillId="11" borderId="0" xfId="0" applyFont="1" applyFill="1"/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/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7" fillId="11" borderId="1" xfId="0" applyFont="1" applyFill="1" applyBorder="1"/>
    <xf numFmtId="0" fontId="0" fillId="0" borderId="0" xfId="0" applyAlignment="1">
      <alignment vertical="top"/>
    </xf>
    <xf numFmtId="0" fontId="6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6" fillId="5" borderId="7" xfId="0" applyFont="1" applyFill="1" applyBorder="1" applyAlignment="1">
      <alignment horizontal="left" vertical="center"/>
    </xf>
    <xf numFmtId="0" fontId="16" fillId="5" borderId="6" xfId="0" applyFont="1" applyFill="1" applyBorder="1" applyAlignment="1">
      <alignment horizontal="left" vertical="center"/>
    </xf>
    <xf numFmtId="0" fontId="16" fillId="5" borderId="8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2" fillId="10" borderId="7" xfId="0" applyFont="1" applyFill="1" applyBorder="1" applyAlignment="1">
      <alignment horizontal="center"/>
    </xf>
    <xf numFmtId="0" fontId="22" fillId="10" borderId="6" xfId="0" applyFont="1" applyFill="1" applyBorder="1" applyAlignment="1">
      <alignment horizontal="center"/>
    </xf>
    <xf numFmtId="0" fontId="22" fillId="10" borderId="8" xfId="0" applyFont="1" applyFill="1" applyBorder="1" applyAlignment="1">
      <alignment horizontal="center"/>
    </xf>
    <xf numFmtId="0" fontId="18" fillId="9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165" fontId="20" fillId="12" borderId="7" xfId="0" applyNumberFormat="1" applyFont="1" applyFill="1" applyBorder="1" applyAlignment="1">
      <alignment horizontal="center" vertical="center"/>
    </xf>
    <xf numFmtId="165" fontId="20" fillId="12" borderId="6" xfId="0" applyNumberFormat="1" applyFont="1" applyFill="1" applyBorder="1" applyAlignment="1">
      <alignment horizontal="center" vertical="center"/>
    </xf>
    <xf numFmtId="165" fontId="20" fillId="12" borderId="8" xfId="0" applyNumberFormat="1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/>
    </xf>
    <xf numFmtId="0" fontId="21" fillId="9" borderId="10" xfId="0" applyFont="1" applyFill="1" applyBorder="1" applyAlignment="1">
      <alignment horizontal="center"/>
    </xf>
    <xf numFmtId="0" fontId="21" fillId="9" borderId="11" xfId="0" applyFont="1" applyFill="1" applyBorder="1" applyAlignment="1">
      <alignment horizontal="center"/>
    </xf>
    <xf numFmtId="1" fontId="20" fillId="12" borderId="7" xfId="0" applyNumberFormat="1" applyFont="1" applyFill="1" applyBorder="1" applyAlignment="1">
      <alignment horizontal="center" vertical="center"/>
    </xf>
    <xf numFmtId="1" fontId="20" fillId="12" borderId="6" xfId="0" applyNumberFormat="1" applyFont="1" applyFill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3">
    <dxf>
      <font>
        <b/>
        <i val="0"/>
        <color theme="1"/>
      </font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theme="5" tint="0.59996337778862885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2 Analyzer.xlsx]Pivot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Analysis'!$A$25:$A$30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Analysis'!$B$25:$B$30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5-483E-A737-81ADFD453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326066128"/>
        <c:axId val="1571271824"/>
      </c:barChart>
      <c:catAx>
        <c:axId val="3260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271824"/>
        <c:crosses val="autoZero"/>
        <c:auto val="1"/>
        <c:lblAlgn val="ctr"/>
        <c:lblOffset val="100"/>
        <c:noMultiLvlLbl val="0"/>
      </c:catAx>
      <c:valAx>
        <c:axId val="1571271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[PR. 2 Analyzer.xlsx]Pivot Analysis!PivotTable4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Analysis'!$B$5:$B$6</c:f>
              <c:strCache>
                <c:ptCount val="1"/>
                <c:pt idx="0">
                  <c:v>Books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53000"/>
                  </a:schemeClr>
                </a:gs>
                <a:gs pos="75000">
                  <a:schemeClr val="accent1">
                    <a:shade val="53000"/>
                    <a:lumMod val="60000"/>
                    <a:lumOff val="40000"/>
                  </a:schemeClr>
                </a:gs>
                <a:gs pos="51000">
                  <a:schemeClr val="accent1">
                    <a:shade val="53000"/>
                    <a:alpha val="75000"/>
                  </a:schemeClr>
                </a:gs>
                <a:gs pos="100000">
                  <a:schemeClr val="accent1">
                    <a:shade val="53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Analysis'!$A$7:$A$12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Analysis'!$B$7:$B$12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B-43F5-A0F1-38F5462EFC82}"/>
            </c:ext>
          </c:extLst>
        </c:ser>
        <c:ser>
          <c:idx val="1"/>
          <c:order val="1"/>
          <c:tx>
            <c:strRef>
              <c:f>'Pivot Analysis'!$C$5:$C$6</c:f>
              <c:strCache>
                <c:ptCount val="1"/>
                <c:pt idx="0">
                  <c:v>Clothing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76000"/>
                  </a:schemeClr>
                </a:gs>
                <a:gs pos="75000">
                  <a:schemeClr val="accent1">
                    <a:shade val="76000"/>
                    <a:lumMod val="60000"/>
                    <a:lumOff val="40000"/>
                  </a:schemeClr>
                </a:gs>
                <a:gs pos="51000">
                  <a:schemeClr val="accent1">
                    <a:shade val="76000"/>
                    <a:alpha val="75000"/>
                  </a:schemeClr>
                </a:gs>
                <a:gs pos="100000">
                  <a:schemeClr val="accent1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Analysis'!$A$7:$A$12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Analysis'!$C$7:$C$12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B-43F5-A0F1-38F5462EFC82}"/>
            </c:ext>
          </c:extLst>
        </c:ser>
        <c:ser>
          <c:idx val="2"/>
          <c:order val="2"/>
          <c:tx>
            <c:strRef>
              <c:f>'Pivot Analysis'!$D$5:$D$6</c:f>
              <c:strCache>
                <c:ptCount val="1"/>
                <c:pt idx="0">
                  <c:v>Electronics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Analysis'!$A$7:$A$12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Analysis'!$D$7:$D$12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0B-43F5-A0F1-38F5462EFC82}"/>
            </c:ext>
          </c:extLst>
        </c:ser>
        <c:ser>
          <c:idx val="3"/>
          <c:order val="3"/>
          <c:tx>
            <c:strRef>
              <c:f>'Pivot Analysis'!$E$5:$E$6</c:f>
              <c:strCache>
                <c:ptCount val="1"/>
                <c:pt idx="0">
                  <c:v>Furniture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77000"/>
                  </a:schemeClr>
                </a:gs>
                <a:gs pos="75000">
                  <a:schemeClr val="accent1">
                    <a:tint val="77000"/>
                    <a:lumMod val="60000"/>
                    <a:lumOff val="40000"/>
                  </a:schemeClr>
                </a:gs>
                <a:gs pos="51000">
                  <a:schemeClr val="accent1">
                    <a:tint val="77000"/>
                    <a:alpha val="75000"/>
                  </a:schemeClr>
                </a:gs>
                <a:gs pos="100000">
                  <a:schemeClr val="accent1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Analysis'!$A$7:$A$12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Analysis'!$E$7:$E$12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0B-43F5-A0F1-38F5462EFC82}"/>
            </c:ext>
          </c:extLst>
        </c:ser>
        <c:ser>
          <c:idx val="4"/>
          <c:order val="4"/>
          <c:tx>
            <c:strRef>
              <c:f>'Pivot Analysis'!$F$5:$F$6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54000"/>
                  </a:schemeClr>
                </a:gs>
                <a:gs pos="75000">
                  <a:schemeClr val="accent1">
                    <a:tint val="54000"/>
                    <a:lumMod val="60000"/>
                    <a:lumOff val="40000"/>
                  </a:schemeClr>
                </a:gs>
                <a:gs pos="51000">
                  <a:schemeClr val="accent1">
                    <a:tint val="54000"/>
                    <a:alpha val="75000"/>
                  </a:schemeClr>
                </a:gs>
                <a:gs pos="100000">
                  <a:schemeClr val="accent1">
                    <a:tint val="54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Analysis'!$A$7:$A$12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Analysis'!$F$7:$F$12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B-43F5-A0F1-38F5462EF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792587087"/>
        <c:axId val="1370972879"/>
      </c:barChart>
      <c:catAx>
        <c:axId val="179258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972879"/>
        <c:crosses val="autoZero"/>
        <c:auto val="1"/>
        <c:lblAlgn val="ctr"/>
        <c:lblOffset val="100"/>
        <c:noMultiLvlLbl val="0"/>
      </c:catAx>
      <c:valAx>
        <c:axId val="137097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58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>
          <a:lumMod val="50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2 Analyzer.xlsx]Pivot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Analysis'!$E$24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Analysis'!$D$25:$D$30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Analysis'!$E$25:$E$30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2D-48F4-8979-B82F780B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718863"/>
        <c:axId val="1800699439"/>
      </c:barChart>
      <c:catAx>
        <c:axId val="179271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99439"/>
        <c:crosses val="autoZero"/>
        <c:auto val="1"/>
        <c:lblAlgn val="ctr"/>
        <c:lblOffset val="100"/>
        <c:noMultiLvlLbl val="0"/>
      </c:catAx>
      <c:valAx>
        <c:axId val="18006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71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+mn-lt"/>
              </a:rPr>
              <a:t>Monthly Sales Trend</a:t>
            </a:r>
          </a:p>
        </c:rich>
      </c:tx>
      <c:layout>
        <c:manualLayout>
          <c:xMode val="edge"/>
          <c:yMode val="edge"/>
          <c:x val="0.27702123947638346"/>
          <c:y val="4.253768889291306E-2"/>
        </c:manualLayout>
      </c:layout>
      <c:overlay val="0"/>
      <c:spPr>
        <a:noFill/>
        <a:ln w="0">
          <a:noFill/>
          <a:round/>
        </a:ln>
        <a:effectLst>
          <a:softEdge rad="0"/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'Monthly Sales'!$A$4:$A$16</c:f>
              <c:numCache>
                <c:formatCode>mmm\ 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'Monthly Sales'!$B$4:$B$16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2-4FD6-8EBC-4DA21F3B4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113071"/>
        <c:axId val="1370994479"/>
      </c:lineChart>
      <c:dateAx>
        <c:axId val="1536113071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994479"/>
        <c:crosses val="autoZero"/>
        <c:auto val="1"/>
        <c:lblOffset val="100"/>
        <c:baseTimeUnit val="months"/>
      </c:dateAx>
      <c:valAx>
        <c:axId val="1370994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Sales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11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>
          <a:lumMod val="7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2 Analyzer.xlsx]Pivot Analysis!PivotTable1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Region</a:t>
            </a:r>
          </a:p>
        </c:rich>
      </c:tx>
      <c:layout>
        <c:manualLayout>
          <c:xMode val="edge"/>
          <c:yMode val="edge"/>
          <c:x val="0.35405204103697652"/>
          <c:y val="3.9816473461393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Analysis'!$B$24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84-4C14-850F-49C2ACC8BD1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84-4C14-850F-49C2ACC8BD1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84-4C14-850F-49C2ACC8BD1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484-4C14-850F-49C2ACC8BD1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484-4C14-850F-49C2ACC8BD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Analysis'!$A$25:$A$30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Analysis'!$B$25:$B$30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2-4264-A356-0009105CF1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343105039"/>
        <c:axId val="1370959439"/>
      </c:barChart>
      <c:catAx>
        <c:axId val="134310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959439"/>
        <c:crosses val="autoZero"/>
        <c:auto val="1"/>
        <c:lblAlgn val="ctr"/>
        <c:lblOffset val="100"/>
        <c:noMultiLvlLbl val="0"/>
      </c:catAx>
      <c:valAx>
        <c:axId val="1370959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Sales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10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95000"/>
      </a:schemeClr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2 Analyzer.xlsx]Pivot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 by Product Category</a:t>
            </a:r>
          </a:p>
        </c:rich>
      </c:tx>
      <c:layout>
        <c:manualLayout>
          <c:xMode val="edge"/>
          <c:yMode val="edge"/>
          <c:x val="0.28347032639728809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13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14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15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  <c:pivotFmt>
        <c:idx val="216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Analysis'!$E$24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75-417F-A1F5-F66D539B6E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75-417F-A1F5-F66D539B6E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75-417F-A1F5-F66D539B6E6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A75-417F-A1F5-F66D539B6E6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A75-417F-A1F5-F66D539B6E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Analysis'!$D$25:$D$30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Analysis'!$E$25:$E$30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C-4D49-A87D-7BCE76F708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92718863"/>
        <c:axId val="1800699439"/>
      </c:barChart>
      <c:catAx>
        <c:axId val="179271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99439"/>
        <c:crosses val="autoZero"/>
        <c:auto val="1"/>
        <c:lblAlgn val="ctr"/>
        <c:lblOffset val="100"/>
        <c:noMultiLvlLbl val="0"/>
      </c:catAx>
      <c:valAx>
        <c:axId val="1800699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Sales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71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Dashboard!$AF$2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Dashboard!$AE$3:$AE$12</c:f>
              <c:strCache>
                <c:ptCount val="10"/>
                <c:pt idx="0">
                  <c:v>CUST015</c:v>
                </c:pt>
                <c:pt idx="1">
                  <c:v>CUST028</c:v>
                </c:pt>
                <c:pt idx="2">
                  <c:v>CUST007</c:v>
                </c:pt>
                <c:pt idx="3">
                  <c:v>CUST008</c:v>
                </c:pt>
                <c:pt idx="4">
                  <c:v>CUST026</c:v>
                </c:pt>
                <c:pt idx="5">
                  <c:v>CUST021</c:v>
                </c:pt>
                <c:pt idx="6">
                  <c:v>CUST003</c:v>
                </c:pt>
                <c:pt idx="7">
                  <c:v>CUST012</c:v>
                </c:pt>
                <c:pt idx="8">
                  <c:v>CUST030</c:v>
                </c:pt>
                <c:pt idx="9">
                  <c:v>CUST004</c:v>
                </c:pt>
              </c:strCache>
            </c:strRef>
          </c:cat>
          <c:val>
            <c:numRef>
              <c:f>Dashboard!$AF$3:$AF$12</c:f>
              <c:numCache>
                <c:formatCode>General</c:formatCode>
                <c:ptCount val="10"/>
                <c:pt idx="0">
                  <c:v>11611.060000000001</c:v>
                </c:pt>
                <c:pt idx="1">
                  <c:v>10293.870000000001</c:v>
                </c:pt>
                <c:pt idx="2">
                  <c:v>9941.8799999999992</c:v>
                </c:pt>
                <c:pt idx="3">
                  <c:v>9760.7999999999993</c:v>
                </c:pt>
                <c:pt idx="4">
                  <c:v>9371.81</c:v>
                </c:pt>
                <c:pt idx="5">
                  <c:v>8740.18</c:v>
                </c:pt>
                <c:pt idx="6">
                  <c:v>8490.18</c:v>
                </c:pt>
                <c:pt idx="7">
                  <c:v>8339</c:v>
                </c:pt>
                <c:pt idx="8">
                  <c:v>7928.71</c:v>
                </c:pt>
                <c:pt idx="9">
                  <c:v>7813.59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1-49FD-9167-3AD6C13F4C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01997823"/>
        <c:axId val="1370776559"/>
      </c:barChart>
      <c:catAx>
        <c:axId val="1801997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776559"/>
        <c:crosses val="autoZero"/>
        <c:auto val="1"/>
        <c:lblAlgn val="ctr"/>
        <c:lblOffset val="100"/>
        <c:noMultiLvlLbl val="0"/>
      </c:catAx>
      <c:valAx>
        <c:axId val="1370776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9782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3</xdr:row>
      <xdr:rowOff>49530</xdr:rowOff>
    </xdr:from>
    <xdr:to>
      <xdr:col>14</xdr:col>
      <xdr:colOff>556260</xdr:colOff>
      <xdr:row>18</xdr:row>
      <xdr:rowOff>49530</xdr:rowOff>
    </xdr:to>
    <xdr:graphicFrame macro="">
      <xdr:nvGraphicFramePr>
        <xdr:cNvPr id="2" name="Chart 1" hidden="1">
          <a:extLst>
            <a:ext uri="{FF2B5EF4-FFF2-40B4-BE49-F238E27FC236}">
              <a16:creationId xmlns:a16="http://schemas.microsoft.com/office/drawing/2014/main" id="{4DB1113C-1629-2899-9D50-18914F369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209550</xdr:colOff>
      <xdr:row>3</xdr:row>
      <xdr:rowOff>87630</xdr:rowOff>
    </xdr:from>
    <xdr:to>
      <xdr:col>14</xdr:col>
      <xdr:colOff>514350</xdr:colOff>
      <xdr:row>15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3F8F93-73BA-77E6-01B5-27F9E6B96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560070</xdr:colOff>
      <xdr:row>22</xdr:row>
      <xdr:rowOff>148590</xdr:rowOff>
    </xdr:from>
    <xdr:to>
      <xdr:col>8</xdr:col>
      <xdr:colOff>422910</xdr:colOff>
      <xdr:row>37</xdr:row>
      <xdr:rowOff>148590</xdr:rowOff>
    </xdr:to>
    <xdr:graphicFrame macro="">
      <xdr:nvGraphicFramePr>
        <xdr:cNvPr id="8" name="Chart 7" hidden="1">
          <a:extLst>
            <a:ext uri="{FF2B5EF4-FFF2-40B4-BE49-F238E27FC236}">
              <a16:creationId xmlns:a16="http://schemas.microsoft.com/office/drawing/2014/main" id="{62B98361-C8DB-7CE5-2919-4E870D8B9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105831</xdr:colOff>
      <xdr:row>9</xdr:row>
      <xdr:rowOff>0</xdr:rowOff>
    </xdr:from>
    <xdr:to>
      <xdr:col>11</xdr:col>
      <xdr:colOff>244230</xdr:colOff>
      <xdr:row>22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30697-4D64-4D67-8E59-2BD5FB673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361461</xdr:colOff>
      <xdr:row>8</xdr:row>
      <xdr:rowOff>175846</xdr:rowOff>
    </xdr:from>
    <xdr:to>
      <xdr:col>18</xdr:col>
      <xdr:colOff>567765</xdr:colOff>
      <xdr:row>21</xdr:row>
      <xdr:rowOff>175845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5E81D8-36E6-4CCA-8726-04F500B32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11</xdr:col>
      <xdr:colOff>280147</xdr:colOff>
      <xdr:row>38</xdr:row>
      <xdr:rowOff>53788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EA1B62-9414-4F3B-8B4B-9E130BF7D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442632</xdr:colOff>
      <xdr:row>22</xdr:row>
      <xdr:rowOff>141940</xdr:rowOff>
    </xdr:from>
    <xdr:to>
      <xdr:col>18</xdr:col>
      <xdr:colOff>575235</xdr:colOff>
      <xdr:row>38</xdr:row>
      <xdr:rowOff>15687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87C423-A555-127D-298B-E6101F6A4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qra Rangrej" refreshedDate="46292.71978796296" createdVersion="8" refreshedVersion="8" minRefreshableVersion="3" recordCount="200" xr:uid="{2D144B29-67E9-46DD-BA1D-14B6E0DDC380}">
  <cacheSource type="worksheet">
    <worksheetSource name="Table1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 count="200">
        <n v="1036.0899999999999"/>
        <n v="1101.28"/>
        <n v="713.34"/>
        <n v="760.93"/>
        <n v="847"/>
        <n v="965.64"/>
        <n v="1317.53"/>
        <n v="1074.47"/>
        <n v="501.54"/>
        <n v="737.31"/>
        <n v="1572.82"/>
        <n v="1343.13"/>
        <n v="1191.58"/>
        <n v="822.28"/>
        <n v="521.66999999999996"/>
        <n v="1502.93"/>
        <n v="877.58"/>
        <n v="636.70000000000005"/>
        <n v="1506.14"/>
        <n v="645.02"/>
        <n v="953.3"/>
        <n v="388.56"/>
        <n v="743.17"/>
        <n v="706.37"/>
        <n v="925.31"/>
        <n v="1173.1199999999999"/>
        <n v="675.54"/>
        <n v="939.09"/>
        <n v="983.34"/>
        <n v="801.21"/>
        <n v="1450.71"/>
        <n v="1023.21"/>
        <n v="853.72"/>
        <n v="967.89"/>
        <n v="1200.9000000000001"/>
        <n v="472.38"/>
        <n v="840.92"/>
        <n v="1410.06"/>
        <n v="773.09"/>
        <n v="580.42999999999995"/>
        <n v="1151.21"/>
        <n v="1025.98"/>
        <n v="556.41999999999996"/>
        <n v="840.85"/>
        <n v="1227.25"/>
        <n v="856.7"/>
        <n v="1225.42"/>
        <n v="1001.57"/>
        <n v="1186.8499999999999"/>
        <n v="775.45"/>
        <n v="1021.47"/>
        <n v="1226.6199999999999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0999999999999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399999999999"/>
        <n v="518.07000000000005"/>
        <n v="1111.3399999999999"/>
        <n v="1291.47"/>
        <n v="679.71"/>
        <n v="1143.69"/>
        <n v="790.08"/>
        <n v="1070.68"/>
        <n v="1168.8900000000001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00000000001"/>
        <n v="1923.66"/>
        <n v="728.71"/>
        <n v="1301.8900000000001"/>
        <n v="980.18"/>
        <n v="697.57"/>
        <n v="1193.6099999999999"/>
        <n v="771.02"/>
        <n v="661.09"/>
        <n v="688.83"/>
        <n v="1249.0999999999999"/>
        <n v="1014.22"/>
        <n v="1010.58"/>
        <n v="957.29"/>
        <n v="1077.92"/>
        <n v="1163.01"/>
        <n v="1014.56"/>
        <n v="718.04"/>
        <n v="1277.8499999999999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399999999999"/>
        <n v="1622.62"/>
        <n v="640.64"/>
        <n v="585.16"/>
        <n v="1109.98"/>
        <n v="1098.08"/>
        <n v="827.25"/>
        <n v="741.88"/>
        <n v="1311.26"/>
        <n v="573.32000000000005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00000000001"/>
        <n v="934.27"/>
        <n v="1465.35"/>
        <n v="740.8"/>
        <n v="545.44000000000005"/>
        <n v="997.61"/>
        <n v="928.32"/>
      </sharedItems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x v="0"/>
    <n v="4"/>
    <n v="0.2"/>
    <d v="2024-04-10T00:00:00"/>
    <n v="331.55"/>
  </r>
  <r>
    <s v="CUST012"/>
    <s v="Robert Anderson"/>
    <x v="0"/>
    <x v="1"/>
    <x v="1"/>
    <n v="3"/>
    <n v="0.2"/>
    <d v="2024-04-11T00:00:00"/>
    <n v="440.51"/>
  </r>
  <r>
    <s v="CUST017"/>
    <s v="James Taylor"/>
    <x v="1"/>
    <x v="0"/>
    <x v="2"/>
    <n v="17"/>
    <n v="0"/>
    <d v="2024-04-14T00:00:00"/>
    <n v="285.33999999999997"/>
  </r>
  <r>
    <s v="CUST005"/>
    <s v="Robert Anderson"/>
    <x v="2"/>
    <x v="2"/>
    <x v="3"/>
    <n v="4"/>
    <n v="0.15"/>
    <d v="2024-04-14T00:00:00"/>
    <n v="161.69999999999999"/>
  </r>
  <r>
    <s v="CUST030"/>
    <s v="James Wilson"/>
    <x v="3"/>
    <x v="0"/>
    <x v="4"/>
    <n v="12"/>
    <n v="0.2"/>
    <d v="2024-04-15T00:00:00"/>
    <n v="271.04000000000002"/>
  </r>
  <r>
    <s v="CUST007"/>
    <s v="Michael Anderson"/>
    <x v="3"/>
    <x v="3"/>
    <x v="5"/>
    <n v="8"/>
    <n v="0.1"/>
    <d v="2024-04-16T00:00:00"/>
    <n v="304.18"/>
  </r>
  <r>
    <s v="CUST001"/>
    <s v="Linda Wilson"/>
    <x v="0"/>
    <x v="2"/>
    <x v="6"/>
    <n v="12"/>
    <n v="0.05"/>
    <d v="2024-04-16T00:00:00"/>
    <n v="312.91000000000003"/>
  </r>
  <r>
    <s v="CUST026"/>
    <s v="Mary Davis"/>
    <x v="1"/>
    <x v="3"/>
    <x v="7"/>
    <n v="6"/>
    <n v="0.2"/>
    <d v="2024-04-19T00:00:00"/>
    <n v="300.85000000000002"/>
  </r>
  <r>
    <s v="CUST009"/>
    <s v="Linda Jackson"/>
    <x v="4"/>
    <x v="0"/>
    <x v="8"/>
    <n v="11"/>
    <n v="0.05"/>
    <d v="2024-04-19T00:00:00"/>
    <n v="190.59"/>
  </r>
  <r>
    <s v="CUST010"/>
    <s v="David Thomas"/>
    <x v="4"/>
    <x v="1"/>
    <x v="9"/>
    <n v="2"/>
    <n v="0.05"/>
    <d v="2024-04-19T00:00:00"/>
    <n v="350.22"/>
  </r>
  <r>
    <s v="CUST014"/>
    <s v="Emma Davis"/>
    <x v="0"/>
    <x v="4"/>
    <x v="10"/>
    <n v="6"/>
    <n v="0.05"/>
    <d v="2024-04-20T00:00:00"/>
    <n v="672.38"/>
  </r>
  <r>
    <s v="CUST014"/>
    <s v="David Thomas"/>
    <x v="4"/>
    <x v="0"/>
    <x v="11"/>
    <n v="14"/>
    <n v="0.15"/>
    <d v="2024-04-22T00:00:00"/>
    <n v="456.66"/>
  </r>
  <r>
    <s v="CUST007"/>
    <s v="Michael Anderson"/>
    <x v="4"/>
    <x v="0"/>
    <x v="12"/>
    <n v="14"/>
    <n v="0.05"/>
    <d v="2024-04-24T00:00:00"/>
    <n v="452.8"/>
  </r>
  <r>
    <s v="CUST023"/>
    <s v="Robert Anderson"/>
    <x v="0"/>
    <x v="3"/>
    <x v="13"/>
    <n v="7"/>
    <n v="0.05"/>
    <d v="2024-04-24T00:00:00"/>
    <n v="273.41000000000003"/>
  </r>
  <r>
    <s v="CUST029"/>
    <s v="David Smith"/>
    <x v="3"/>
    <x v="3"/>
    <x v="14"/>
    <n v="15"/>
    <n v="0.15"/>
    <d v="2024-04-27T00:00:00"/>
    <n v="155.19999999999999"/>
  </r>
  <r>
    <s v="CUST005"/>
    <s v="Sarah Anderson"/>
    <x v="2"/>
    <x v="2"/>
    <x v="15"/>
    <n v="14"/>
    <n v="0.2"/>
    <d v="2024-04-28T00:00:00"/>
    <n v="300.58999999999997"/>
  </r>
  <r>
    <s v="CUST008"/>
    <s v="Robert Anderson"/>
    <x v="2"/>
    <x v="0"/>
    <x v="16"/>
    <n v="10"/>
    <n v="0.15"/>
    <d v="2024-04-29T00:00:00"/>
    <n v="298.38"/>
  </r>
  <r>
    <s v="CUST001"/>
    <s v="Lisa Thomas"/>
    <x v="0"/>
    <x v="0"/>
    <x v="17"/>
    <n v="4"/>
    <n v="0.2"/>
    <d v="2024-04-29T00:00:00"/>
    <n v="203.74"/>
  </r>
  <r>
    <s v="CUST006"/>
    <s v="Mary Jackson"/>
    <x v="0"/>
    <x v="0"/>
    <x v="18"/>
    <n v="13"/>
    <n v="0.2"/>
    <d v="2024-04-30T00:00:00"/>
    <n v="481.96"/>
  </r>
  <r>
    <s v="CUST026"/>
    <s v="Mary Davis"/>
    <x v="4"/>
    <x v="2"/>
    <x v="19"/>
    <n v="4"/>
    <n v="0"/>
    <d v="2024-05-02T00:00:00"/>
    <n v="161.26"/>
  </r>
  <r>
    <s v="CUST007"/>
    <s v="Lisa Davis"/>
    <x v="2"/>
    <x v="1"/>
    <x v="20"/>
    <n v="11"/>
    <n v="0"/>
    <d v="2024-05-03T00:00:00"/>
    <n v="476.65"/>
  </r>
  <r>
    <s v="CUST022"/>
    <s v="Robert Anderson"/>
    <x v="3"/>
    <x v="2"/>
    <x v="21"/>
    <n v="14"/>
    <n v="0.15"/>
    <d v="2024-05-04T00:00:00"/>
    <n v="82.57"/>
  </r>
  <r>
    <s v="CUST019"/>
    <s v="Mary Davis"/>
    <x v="0"/>
    <x v="0"/>
    <x v="22"/>
    <n v="9"/>
    <n v="0"/>
    <d v="2024-05-04T00:00:00"/>
    <n v="297.27"/>
  </r>
  <r>
    <s v="CUST023"/>
    <s v="Mary Davis"/>
    <x v="4"/>
    <x v="2"/>
    <x v="23"/>
    <n v="6"/>
    <n v="0"/>
    <d v="2024-05-04T00:00:00"/>
    <n v="176.59"/>
  </r>
  <r>
    <s v="CUST012"/>
    <s v="Mary Davis"/>
    <x v="4"/>
    <x v="4"/>
    <x v="24"/>
    <n v="8"/>
    <n v="0.1"/>
    <d v="2024-05-06T00:00:00"/>
    <n v="374.75"/>
  </r>
  <r>
    <s v="CUST010"/>
    <s v="Linda Brown"/>
    <x v="2"/>
    <x v="2"/>
    <x v="25"/>
    <n v="18"/>
    <n v="0"/>
    <d v="2024-05-06T00:00:00"/>
    <n v="293.27999999999997"/>
  </r>
  <r>
    <s v="CUST030"/>
    <s v="John Brown"/>
    <x v="3"/>
    <x v="3"/>
    <x v="26"/>
    <n v="17"/>
    <n v="0"/>
    <d v="2024-05-08T00:00:00"/>
    <n v="236.44"/>
  </r>
  <r>
    <s v="CUST007"/>
    <s v="Robert Anderson"/>
    <x v="4"/>
    <x v="0"/>
    <x v="27"/>
    <n v="2"/>
    <n v="0.05"/>
    <d v="2024-05-10T00:00:00"/>
    <n v="356.85"/>
  </r>
  <r>
    <s v="CUST028"/>
    <s v="Linda Taylor"/>
    <x v="1"/>
    <x v="4"/>
    <x v="28"/>
    <n v="19"/>
    <n v="0.1"/>
    <d v="2024-05-14T00:00:00"/>
    <n v="398.25"/>
  </r>
  <r>
    <s v="CUST028"/>
    <s v="James Wilson"/>
    <x v="2"/>
    <x v="2"/>
    <x v="29"/>
    <n v="3"/>
    <n v="0.2"/>
    <d v="2024-05-14T00:00:00"/>
    <n v="160.24"/>
  </r>
  <r>
    <s v="CUST025"/>
    <s v="David Brown"/>
    <x v="3"/>
    <x v="2"/>
    <x v="30"/>
    <n v="5"/>
    <n v="0.1"/>
    <d v="2024-05-15T00:00:00"/>
    <n v="326.41000000000003"/>
  </r>
  <r>
    <s v="CUST022"/>
    <s v="David Davis"/>
    <x v="4"/>
    <x v="0"/>
    <x v="31"/>
    <n v="18"/>
    <n v="0.05"/>
    <d v="2024-05-16T00:00:00"/>
    <n v="388.82"/>
  </r>
  <r>
    <s v="CUST001"/>
    <s v="Mary Jackson"/>
    <x v="0"/>
    <x v="3"/>
    <x v="32"/>
    <n v="5"/>
    <n v="0.15"/>
    <d v="2024-05-16T00:00:00"/>
    <n v="253.98"/>
  </r>
  <r>
    <s v="CUST021"/>
    <s v="Sarah Anderson"/>
    <x v="2"/>
    <x v="2"/>
    <x v="33"/>
    <n v="10"/>
    <n v="0.1"/>
    <d v="2024-05-17T00:00:00"/>
    <n v="217.78"/>
  </r>
  <r>
    <s v="CUST015"/>
    <s v="Linda Taylor"/>
    <x v="3"/>
    <x v="4"/>
    <x v="34"/>
    <n v="14"/>
    <n v="0.05"/>
    <d v="2024-05-17T00:00:00"/>
    <n v="513.38"/>
  </r>
  <r>
    <s v="CUST012"/>
    <s v="Michael Anderson"/>
    <x v="0"/>
    <x v="0"/>
    <x v="35"/>
    <n v="12"/>
    <n v="0.2"/>
    <d v="2024-05-17T00:00:00"/>
    <n v="151.16"/>
  </r>
  <r>
    <s v="CUST019"/>
    <s v="David Brown"/>
    <x v="1"/>
    <x v="4"/>
    <x v="36"/>
    <n v="9"/>
    <n v="0.05"/>
    <d v="2024-05-17T00:00:00"/>
    <n v="359.49"/>
  </r>
  <r>
    <s v="CUST028"/>
    <s v="Lisa Davis"/>
    <x v="4"/>
    <x v="3"/>
    <x v="37"/>
    <n v="11"/>
    <n v="0.05"/>
    <d v="2024-05-22T00:00:00"/>
    <n v="468.84"/>
  </r>
  <r>
    <s v="CUST008"/>
    <s v="Mary Wilson"/>
    <x v="4"/>
    <x v="3"/>
    <x v="38"/>
    <n v="13"/>
    <n v="0.15"/>
    <d v="2024-05-22T00:00:00"/>
    <n v="229.99"/>
  </r>
  <r>
    <s v="CUST016"/>
    <s v="Emma Wilson"/>
    <x v="1"/>
    <x v="0"/>
    <x v="39"/>
    <n v="19"/>
    <n v="0.15"/>
    <d v="2024-05-23T00:00:00"/>
    <n v="197.35"/>
  </r>
  <r>
    <s v="CUST005"/>
    <s v="David Smith"/>
    <x v="2"/>
    <x v="0"/>
    <x v="40"/>
    <n v="15"/>
    <n v="0.1"/>
    <d v="2024-06-02T00:00:00"/>
    <n v="414.44"/>
  </r>
  <r>
    <s v="CUST028"/>
    <s v="James Wilson"/>
    <x v="4"/>
    <x v="4"/>
    <x v="41"/>
    <n v="5"/>
    <n v="0.2"/>
    <d v="2024-06-04T00:00:00"/>
    <n v="369.35"/>
  </r>
  <r>
    <s v="CUST023"/>
    <s v="David Davis"/>
    <x v="1"/>
    <x v="4"/>
    <x v="42"/>
    <n v="11"/>
    <n v="0.15"/>
    <d v="2024-06-04T00:00:00"/>
    <n v="212.83"/>
  </r>
  <r>
    <s v="CUST021"/>
    <s v="James Wilson"/>
    <x v="4"/>
    <x v="0"/>
    <x v="43"/>
    <n v="19"/>
    <n v="0.1"/>
    <d v="2024-06-05T00:00:00"/>
    <n v="302.70999999999998"/>
  </r>
  <r>
    <s v="CUST026"/>
    <s v="Emma Wilson"/>
    <x v="3"/>
    <x v="3"/>
    <x v="44"/>
    <n v="12"/>
    <n v="0.15"/>
    <d v="2024-06-05T00:00:00"/>
    <n v="365.11"/>
  </r>
  <r>
    <s v="CUST017"/>
    <s v="Linda Davis"/>
    <x v="4"/>
    <x v="2"/>
    <x v="45"/>
    <n v="2"/>
    <n v="0"/>
    <d v="2024-06-06T00:00:00"/>
    <n v="214.18"/>
  </r>
  <r>
    <s v="CUST025"/>
    <s v="David Davis"/>
    <x v="4"/>
    <x v="4"/>
    <x v="46"/>
    <n v="8"/>
    <n v="0.15"/>
    <d v="2024-06-06T00:00:00"/>
    <n v="468.72"/>
  </r>
  <r>
    <s v="CUST011"/>
    <s v="Mary Davis"/>
    <x v="3"/>
    <x v="4"/>
    <x v="47"/>
    <n v="12"/>
    <n v="0"/>
    <d v="2024-06-07T00:00:00"/>
    <n v="450.71"/>
  </r>
  <r>
    <s v="CUST021"/>
    <s v="Michael Anderson"/>
    <x v="1"/>
    <x v="3"/>
    <x v="48"/>
    <n v="19"/>
    <n v="0.2"/>
    <d v="2024-06-08T00:00:00"/>
    <n v="332.32"/>
  </r>
  <r>
    <s v="CUST008"/>
    <s v="John Brown"/>
    <x v="2"/>
    <x v="2"/>
    <x v="49"/>
    <n v="6"/>
    <n v="0.1"/>
    <d v="2024-06-14T00:00:00"/>
    <n v="174.48"/>
  </r>
  <r>
    <s v="CUST007"/>
    <s v="Linda Jackson"/>
    <x v="2"/>
    <x v="2"/>
    <x v="50"/>
    <n v="6"/>
    <n v="0.05"/>
    <d v="2024-06-18T00:00:00"/>
    <n v="242.6"/>
  </r>
  <r>
    <s v="CUST015"/>
    <s v="James Wilson"/>
    <x v="2"/>
    <x v="1"/>
    <x v="51"/>
    <n v="7"/>
    <n v="0.1"/>
    <d v="2024-06-20T00:00:00"/>
    <n v="551.98"/>
  </r>
  <r>
    <s v="CUST030"/>
    <s v="Sarah Davis"/>
    <x v="2"/>
    <x v="3"/>
    <x v="52"/>
    <n v="2"/>
    <n v="0"/>
    <d v="2024-06-21T00:00:00"/>
    <n v="380.43"/>
  </r>
  <r>
    <s v="CUST002"/>
    <s v="Lisa Davis"/>
    <x v="0"/>
    <x v="0"/>
    <x v="53"/>
    <n v="18"/>
    <n v="0.1"/>
    <d v="2024-06-23T00:00:00"/>
    <n v="339.44"/>
  </r>
  <r>
    <s v="CUST009"/>
    <s v="Emma Davis"/>
    <x v="3"/>
    <x v="2"/>
    <x v="54"/>
    <n v="15"/>
    <n v="0.15"/>
    <d v="2024-06-25T00:00:00"/>
    <n v="173.99"/>
  </r>
  <r>
    <s v="CUST005"/>
    <s v="Robert Anderson"/>
    <x v="2"/>
    <x v="3"/>
    <x v="55"/>
    <n v="10"/>
    <n v="0.2"/>
    <d v="2024-06-25T00:00:00"/>
    <n v="257.33"/>
  </r>
  <r>
    <s v="CUST030"/>
    <s v="Emma Taylor"/>
    <x v="4"/>
    <x v="0"/>
    <x v="56"/>
    <n v="11"/>
    <n v="0"/>
    <d v="2024-06-27T00:00:00"/>
    <n v="389.3"/>
  </r>
  <r>
    <s v="CUST029"/>
    <s v="Sarah Davis"/>
    <x v="3"/>
    <x v="2"/>
    <x v="57"/>
    <n v="1"/>
    <n v="0.2"/>
    <d v="2024-06-28T00:00:00"/>
    <n v="148.32"/>
  </r>
  <r>
    <s v="CUST003"/>
    <s v="Emma Davis"/>
    <x v="3"/>
    <x v="0"/>
    <x v="58"/>
    <n v="2"/>
    <n v="0.1"/>
    <d v="2024-06-30T00:00:00"/>
    <n v="449.58"/>
  </r>
  <r>
    <s v="CUST012"/>
    <s v="Mary Wilson"/>
    <x v="0"/>
    <x v="1"/>
    <x v="59"/>
    <n v="17"/>
    <n v="0"/>
    <d v="2024-06-30T00:00:00"/>
    <n v="680.18"/>
  </r>
  <r>
    <s v="CUST021"/>
    <s v="Mary Davis"/>
    <x v="1"/>
    <x v="0"/>
    <x v="60"/>
    <n v="8"/>
    <n v="0.1"/>
    <d v="2024-07-05T00:00:00"/>
    <n v="497.99"/>
  </r>
  <r>
    <s v="CUST010"/>
    <s v="David Brown"/>
    <x v="4"/>
    <x v="4"/>
    <x v="61"/>
    <n v="9"/>
    <n v="0"/>
    <d v="2024-07-06T00:00:00"/>
    <n v="220.05"/>
  </r>
  <r>
    <s v="CUST026"/>
    <s v="Mary Davis"/>
    <x v="1"/>
    <x v="3"/>
    <x v="62"/>
    <n v="17"/>
    <n v="0.1"/>
    <d v="2024-07-08T00:00:00"/>
    <n v="294.12"/>
  </r>
  <r>
    <s v="CUST003"/>
    <s v="James Davis"/>
    <x v="0"/>
    <x v="2"/>
    <x v="63"/>
    <n v="17"/>
    <n v="0.2"/>
    <d v="2024-07-08T00:00:00"/>
    <n v="201.11"/>
  </r>
  <r>
    <s v="CUST029"/>
    <s v="Emma Wilson"/>
    <x v="2"/>
    <x v="2"/>
    <x v="64"/>
    <n v="5"/>
    <n v="0.05"/>
    <d v="2024-07-09T00:00:00"/>
    <n v="261.27"/>
  </r>
  <r>
    <s v="CUST003"/>
    <s v="James Wilson"/>
    <x v="3"/>
    <x v="3"/>
    <x v="65"/>
    <n v="15"/>
    <n v="0.15"/>
    <d v="2024-07-14T00:00:00"/>
    <n v="307.82"/>
  </r>
  <r>
    <s v="CUST002"/>
    <s v="Mary Davis"/>
    <x v="2"/>
    <x v="0"/>
    <x v="66"/>
    <n v="12"/>
    <n v="0.05"/>
    <d v="2024-07-15T00:00:00"/>
    <n v="333.05"/>
  </r>
  <r>
    <s v="CUST020"/>
    <s v="David Brown"/>
    <x v="0"/>
    <x v="3"/>
    <x v="67"/>
    <n v="5"/>
    <n v="0.05"/>
    <d v="2024-07-15T00:00:00"/>
    <n v="455.97"/>
  </r>
  <r>
    <s v="CUST021"/>
    <s v="Mary Jackson"/>
    <x v="3"/>
    <x v="2"/>
    <x v="68"/>
    <n v="11"/>
    <n v="0.05"/>
    <d v="2024-07-21T00:00:00"/>
    <n v="242.31"/>
  </r>
  <r>
    <s v="CUST008"/>
    <s v="James Davis"/>
    <x v="4"/>
    <x v="4"/>
    <x v="69"/>
    <n v="1"/>
    <n v="0.05"/>
    <d v="2024-07-29T00:00:00"/>
    <n v="344.06"/>
  </r>
  <r>
    <s v="CUST030"/>
    <s v="David Brown"/>
    <x v="4"/>
    <x v="2"/>
    <x v="70"/>
    <n v="1"/>
    <n v="0.05"/>
    <d v="2024-07-30T00:00:00"/>
    <n v="144.56"/>
  </r>
  <r>
    <s v="CUST020"/>
    <s v="Linda Moore"/>
    <x v="2"/>
    <x v="4"/>
    <x v="71"/>
    <n v="19"/>
    <n v="0"/>
    <d v="2024-07-31T00:00:00"/>
    <n v="441.54"/>
  </r>
  <r>
    <s v="CUST024"/>
    <s v="David Brown"/>
    <x v="1"/>
    <x v="2"/>
    <x v="72"/>
    <n v="10"/>
    <n v="0.15"/>
    <d v="2024-08-05T00:00:00"/>
    <n v="114.7"/>
  </r>
  <r>
    <s v="CUST012"/>
    <s v="David Anderson"/>
    <x v="2"/>
    <x v="0"/>
    <x v="73"/>
    <n v="5"/>
    <n v="0.2"/>
    <d v="2024-08-05T00:00:00"/>
    <n v="257.42"/>
  </r>
  <r>
    <s v="CUST024"/>
    <s v="Emma Davis"/>
    <x v="0"/>
    <x v="2"/>
    <x v="74"/>
    <n v="13"/>
    <n v="0.2"/>
    <d v="2024-08-08T00:00:00"/>
    <n v="305.32"/>
  </r>
  <r>
    <s v="CUST012"/>
    <s v="Linda Wilson"/>
    <x v="0"/>
    <x v="2"/>
    <x v="75"/>
    <n v="5"/>
    <n v="0.15"/>
    <d v="2024-08-09T00:00:00"/>
    <n v="258.24"/>
  </r>
  <r>
    <s v="CUST005"/>
    <s v="Linda Taylor"/>
    <x v="4"/>
    <x v="3"/>
    <x v="76"/>
    <n v="3"/>
    <n v="0"/>
    <d v="2024-08-15T00:00:00"/>
    <n v="441.47"/>
  </r>
  <r>
    <s v="CUST004"/>
    <s v="Lisa Thomas"/>
    <x v="3"/>
    <x v="3"/>
    <x v="77"/>
    <n v="7"/>
    <n v="0.05"/>
    <d v="2024-08-18T00:00:00"/>
    <n v="172.26"/>
  </r>
  <r>
    <s v="CUST026"/>
    <s v="Linda Wilson"/>
    <x v="0"/>
    <x v="4"/>
    <x v="78"/>
    <n v="1"/>
    <n v="0"/>
    <d v="2024-08-19T00:00:00"/>
    <n v="500.1"/>
  </r>
  <r>
    <s v="CUST030"/>
    <s v="Mary Davis"/>
    <x v="1"/>
    <x v="1"/>
    <x v="79"/>
    <n v="18"/>
    <n v="0.1"/>
    <d v="2024-08-22T00:00:00"/>
    <n v="581.16"/>
  </r>
  <r>
    <s v="CUST007"/>
    <s v="David Brown"/>
    <x v="3"/>
    <x v="0"/>
    <x v="80"/>
    <n v="19"/>
    <n v="0"/>
    <d v="2024-08-30T00:00:00"/>
    <n v="271.88"/>
  </r>
  <r>
    <s v="CUST020"/>
    <s v="Linda Jackson"/>
    <x v="1"/>
    <x v="3"/>
    <x v="81"/>
    <n v="17"/>
    <n v="0"/>
    <d v="2024-08-30T00:00:00"/>
    <n v="400.29"/>
  </r>
  <r>
    <s v="CUST028"/>
    <s v="Linda Brown"/>
    <x v="4"/>
    <x v="2"/>
    <x v="82"/>
    <n v="7"/>
    <n v="0.1"/>
    <d v="2024-09-01T00:00:00"/>
    <n v="177.77"/>
  </r>
  <r>
    <s v="CUST005"/>
    <s v="Lisa Davis"/>
    <x v="4"/>
    <x v="0"/>
    <x v="83"/>
    <n v="7"/>
    <n v="0.05"/>
    <d v="2024-09-01T00:00:00"/>
    <n v="406.86"/>
  </r>
  <r>
    <s v="CUST015"/>
    <s v="David Thomas"/>
    <x v="0"/>
    <x v="1"/>
    <x v="84"/>
    <n v="4"/>
    <n v="0.1"/>
    <d v="2024-09-09T00:00:00"/>
    <n v="526"/>
  </r>
  <r>
    <s v="CUST003"/>
    <s v="James Davis"/>
    <x v="2"/>
    <x v="2"/>
    <x v="85"/>
    <n v="17"/>
    <n v="0"/>
    <d v="2024-09-09T00:00:00"/>
    <n v="333.97"/>
  </r>
  <r>
    <s v="CUST023"/>
    <s v="David Brown"/>
    <x v="1"/>
    <x v="3"/>
    <x v="86"/>
    <n v="9"/>
    <n v="0"/>
    <d v="2024-09-11T00:00:00"/>
    <n v="305.8"/>
  </r>
  <r>
    <s v="CUST004"/>
    <s v="Sarah Davis"/>
    <x v="0"/>
    <x v="4"/>
    <x v="87"/>
    <n v="19"/>
    <n v="0"/>
    <d v="2024-09-12T00:00:00"/>
    <n v="649.79"/>
  </r>
  <r>
    <s v="CUST023"/>
    <s v="James Wilson"/>
    <x v="1"/>
    <x v="4"/>
    <x v="88"/>
    <n v="11"/>
    <n v="0.15"/>
    <d v="2024-09-14T00:00:00"/>
    <n v="441.53"/>
  </r>
  <r>
    <s v="CUST022"/>
    <s v="Linda Brown"/>
    <x v="2"/>
    <x v="0"/>
    <x v="89"/>
    <n v="16"/>
    <n v="0.05"/>
    <d v="2024-09-14T00:00:00"/>
    <n v="480.51"/>
  </r>
  <r>
    <s v="CUST007"/>
    <s v="Emma Taylor"/>
    <x v="0"/>
    <x v="3"/>
    <x v="90"/>
    <n v="4"/>
    <n v="0.1"/>
    <d v="2024-09-16T00:00:00"/>
    <n v="346.99"/>
  </r>
  <r>
    <s v="CUST013"/>
    <s v="Robert Anderson"/>
    <x v="2"/>
    <x v="3"/>
    <x v="91"/>
    <n v="1"/>
    <n v="0.1"/>
    <d v="2024-09-17T00:00:00"/>
    <n v="229.23"/>
  </r>
  <r>
    <s v="CUST027"/>
    <s v="Emma Davis"/>
    <x v="1"/>
    <x v="4"/>
    <x v="92"/>
    <n v="13"/>
    <n v="0.15"/>
    <d v="2024-09-17T00:00:00"/>
    <n v="334.84"/>
  </r>
  <r>
    <s v="CUST003"/>
    <s v="James Wilson"/>
    <x v="0"/>
    <x v="2"/>
    <x v="93"/>
    <n v="19"/>
    <n v="0.2"/>
    <d v="2024-09-18T00:00:00"/>
    <n v="231.79"/>
  </r>
  <r>
    <s v="CUST018"/>
    <s v="Mary Jackson"/>
    <x v="2"/>
    <x v="0"/>
    <x v="94"/>
    <n v="2"/>
    <n v="0.15"/>
    <d v="2024-09-22T00:00:00"/>
    <n v="328.54"/>
  </r>
  <r>
    <s v="CUST020"/>
    <s v="James Taylor"/>
    <x v="2"/>
    <x v="0"/>
    <x v="95"/>
    <n v="6"/>
    <n v="0"/>
    <d v="2024-09-23T00:00:00"/>
    <n v="366.99"/>
  </r>
  <r>
    <s v="CUST029"/>
    <s v="Emma Wilson"/>
    <x v="0"/>
    <x v="3"/>
    <x v="96"/>
    <n v="7"/>
    <n v="0.15"/>
    <d v="2024-09-24T00:00:00"/>
    <n v="348.96"/>
  </r>
  <r>
    <s v="CUST021"/>
    <s v="James Wilson"/>
    <x v="3"/>
    <x v="1"/>
    <x v="97"/>
    <n v="11"/>
    <n v="0.1"/>
    <d v="2024-09-24T00:00:00"/>
    <n v="542.62"/>
  </r>
  <r>
    <s v="CUST017"/>
    <s v="Sarah Davis"/>
    <x v="0"/>
    <x v="4"/>
    <x v="98"/>
    <n v="10"/>
    <n v="0.2"/>
    <d v="2024-09-29T00:00:00"/>
    <n v="297.69"/>
  </r>
  <r>
    <s v="CUST003"/>
    <s v="James Wilson"/>
    <x v="4"/>
    <x v="1"/>
    <x v="99"/>
    <n v="12"/>
    <n v="0"/>
    <d v="2024-09-29T00:00:00"/>
    <n v="451.1"/>
  </r>
  <r>
    <s v="CUST027"/>
    <s v="Emma Davis"/>
    <x v="3"/>
    <x v="0"/>
    <x v="100"/>
    <n v="17"/>
    <n v="0.1"/>
    <d v="2024-09-30T00:00:00"/>
    <n v="210.95"/>
  </r>
  <r>
    <s v="CUST016"/>
    <s v="Michael Anderson"/>
    <x v="3"/>
    <x v="1"/>
    <x v="101"/>
    <n v="8"/>
    <n v="0.1"/>
    <d v="2024-09-30T00:00:00"/>
    <n v="445.59"/>
  </r>
  <r>
    <s v="CUST008"/>
    <s v="David Davis"/>
    <x v="4"/>
    <x v="2"/>
    <x v="102"/>
    <n v="13"/>
    <n v="0.2"/>
    <d v="2024-10-02T00:00:00"/>
    <n v="202.82"/>
  </r>
  <r>
    <s v="CUST012"/>
    <s v="Lisa Davis"/>
    <x v="3"/>
    <x v="2"/>
    <x v="103"/>
    <n v="17"/>
    <n v="0"/>
    <d v="2024-10-05T00:00:00"/>
    <n v="231.32"/>
  </r>
  <r>
    <s v="CUST025"/>
    <s v="Mary Jackson"/>
    <x v="1"/>
    <x v="3"/>
    <x v="104"/>
    <n v="8"/>
    <n v="0"/>
    <d v="2024-10-10T00:00:00"/>
    <n v="450.29"/>
  </r>
  <r>
    <s v="CUST014"/>
    <s v="Sarah Davis"/>
    <x v="2"/>
    <x v="0"/>
    <x v="105"/>
    <n v="8"/>
    <n v="0.2"/>
    <d v="2024-10-12T00:00:00"/>
    <n v="307.72000000000003"/>
  </r>
  <r>
    <s v="CUST008"/>
    <s v="James Wilson"/>
    <x v="1"/>
    <x v="0"/>
    <x v="106"/>
    <n v="19"/>
    <n v="0.15"/>
    <d v="2024-10-12T00:00:00"/>
    <n v="367.59"/>
  </r>
  <r>
    <s v="CUST015"/>
    <s v="James Wilson"/>
    <x v="0"/>
    <x v="1"/>
    <x v="107"/>
    <n v="9"/>
    <n v="0.2"/>
    <d v="2024-10-15T00:00:00"/>
    <n v="769.46"/>
  </r>
  <r>
    <s v="CUST025"/>
    <s v="Emma Taylor"/>
    <x v="4"/>
    <x v="1"/>
    <x v="108"/>
    <n v="14"/>
    <n v="0.1"/>
    <d v="2024-10-16T00:00:00"/>
    <n v="327.92"/>
  </r>
  <r>
    <s v="CUST019"/>
    <s v="Linda Jackson"/>
    <x v="4"/>
    <x v="1"/>
    <x v="109"/>
    <n v="7"/>
    <n v="0.15"/>
    <d v="2024-10-16T00:00:00"/>
    <n v="553.29999999999995"/>
  </r>
  <r>
    <s v="CUST024"/>
    <s v="Emma Taylor"/>
    <x v="1"/>
    <x v="0"/>
    <x v="110"/>
    <n v="16"/>
    <n v="0.1"/>
    <d v="2024-10-17T00:00:00"/>
    <n v="352.86"/>
  </r>
  <r>
    <s v="CUST027"/>
    <s v="James Wilson"/>
    <x v="0"/>
    <x v="1"/>
    <x v="111"/>
    <n v="17"/>
    <n v="0.1"/>
    <d v="2024-10-19T00:00:00"/>
    <n v="313.91000000000003"/>
  </r>
  <r>
    <s v="CUST006"/>
    <s v="David Anderson"/>
    <x v="0"/>
    <x v="3"/>
    <x v="112"/>
    <n v="1"/>
    <n v="0.15"/>
    <d v="2024-10-19T00:00:00"/>
    <n v="355.1"/>
  </r>
  <r>
    <s v="CUST009"/>
    <s v="Emma Davis"/>
    <x v="2"/>
    <x v="2"/>
    <x v="113"/>
    <n v="1"/>
    <n v="0"/>
    <d v="2024-10-20T00:00:00"/>
    <n v="192.76"/>
  </r>
  <r>
    <s v="CUST003"/>
    <s v="Linda Moore"/>
    <x v="3"/>
    <x v="1"/>
    <x v="114"/>
    <n v="1"/>
    <n v="0.2"/>
    <d v="2024-10-28T00:00:00"/>
    <n v="264.44"/>
  </r>
  <r>
    <s v="CUST012"/>
    <s v="David Brown"/>
    <x v="0"/>
    <x v="2"/>
    <x v="115"/>
    <n v="15"/>
    <n v="0"/>
    <d v="2024-10-30T00:00:00"/>
    <n v="172.21"/>
  </r>
  <r>
    <s v="CUST013"/>
    <s v="Linda Wilson"/>
    <x v="4"/>
    <x v="0"/>
    <x v="116"/>
    <n v="4"/>
    <n v="0.05"/>
    <d v="2024-11-01T00:00:00"/>
    <n v="474.66"/>
  </r>
  <r>
    <s v="CUST008"/>
    <s v="James Wilson"/>
    <x v="1"/>
    <x v="4"/>
    <x v="117"/>
    <n v="14"/>
    <n v="0.05"/>
    <d v="2024-11-03T00:00:00"/>
    <n v="433.58"/>
  </r>
  <r>
    <s v="CUST025"/>
    <s v="Lisa Davis"/>
    <x v="1"/>
    <x v="0"/>
    <x v="118"/>
    <n v="2"/>
    <n v="0.15"/>
    <d v="2024-11-09T00:00:00"/>
    <n v="343.6"/>
  </r>
  <r>
    <s v="CUST026"/>
    <s v="Mary Wilson"/>
    <x v="3"/>
    <x v="3"/>
    <x v="119"/>
    <n v="4"/>
    <n v="0.05"/>
    <d v="2024-11-09T00:00:00"/>
    <n v="318.3"/>
  </r>
  <r>
    <s v="CUST001"/>
    <s v="Lisa Thomas"/>
    <x v="3"/>
    <x v="3"/>
    <x v="120"/>
    <n v="3"/>
    <n v="0.05"/>
    <d v="2024-11-12T00:00:00"/>
    <n v="358.41"/>
  </r>
  <r>
    <s v="CUST028"/>
    <s v="Linda Brown"/>
    <x v="2"/>
    <x v="1"/>
    <x v="121"/>
    <n v="5"/>
    <n v="0"/>
    <d v="2024-11-15T00:00:00"/>
    <n v="581.5"/>
  </r>
  <r>
    <s v="CUST025"/>
    <s v="Lisa Thomas"/>
    <x v="1"/>
    <x v="4"/>
    <x v="122"/>
    <n v="10"/>
    <n v="0.1"/>
    <d v="2024-11-16T00:00:00"/>
    <n v="410.9"/>
  </r>
  <r>
    <s v="CUST019"/>
    <s v="James Taylor"/>
    <x v="2"/>
    <x v="2"/>
    <x v="123"/>
    <n v="14"/>
    <n v="0"/>
    <d v="2024-11-17T00:00:00"/>
    <n v="179.51"/>
  </r>
  <r>
    <s v="CUST004"/>
    <s v="James Taylor"/>
    <x v="4"/>
    <x v="1"/>
    <x v="124"/>
    <n v="18"/>
    <n v="0.2"/>
    <d v="2024-11-17T00:00:00"/>
    <n v="511.14"/>
  </r>
  <r>
    <s v="CUST024"/>
    <s v="James Wilson"/>
    <x v="3"/>
    <x v="2"/>
    <x v="125"/>
    <n v="1"/>
    <n v="0.15"/>
    <d v="2024-11-17T00:00:00"/>
    <n v="150.18"/>
  </r>
  <r>
    <s v="CUST002"/>
    <s v="Linda Brown"/>
    <x v="1"/>
    <x v="2"/>
    <x v="126"/>
    <n v="15"/>
    <n v="0"/>
    <d v="2024-11-19T00:00:00"/>
    <n v="352.65"/>
  </r>
  <r>
    <s v="CUST009"/>
    <s v="Emma Wilson"/>
    <x v="2"/>
    <x v="3"/>
    <x v="127"/>
    <n v="10"/>
    <n v="0"/>
    <d v="2024-11-19T00:00:00"/>
    <n v="472.62"/>
  </r>
  <r>
    <s v="CUST029"/>
    <s v="Lisa Thomas"/>
    <x v="1"/>
    <x v="2"/>
    <x v="128"/>
    <n v="4"/>
    <n v="0.15"/>
    <d v="2024-11-19T00:00:00"/>
    <n v="195.33"/>
  </r>
  <r>
    <s v="CUST027"/>
    <s v="James Wilson"/>
    <x v="0"/>
    <x v="2"/>
    <x v="129"/>
    <n v="19"/>
    <n v="0"/>
    <d v="2024-11-20T00:00:00"/>
    <n v="64.63"/>
  </r>
  <r>
    <s v="CUST011"/>
    <s v="Emma Wilson"/>
    <x v="1"/>
    <x v="0"/>
    <x v="130"/>
    <n v="5"/>
    <n v="0.05"/>
    <d v="2024-11-20T00:00:00"/>
    <n v="461.12"/>
  </r>
  <r>
    <s v="CUST021"/>
    <s v="Emma Davis"/>
    <x v="4"/>
    <x v="0"/>
    <x v="131"/>
    <n v="8"/>
    <n v="0.05"/>
    <d v="2024-11-26T00:00:00"/>
    <n v="437.11"/>
  </r>
  <r>
    <s v="CUST014"/>
    <s v="David Anderson"/>
    <x v="2"/>
    <x v="3"/>
    <x v="132"/>
    <n v="8"/>
    <n v="0.1"/>
    <d v="2024-11-26T00:00:00"/>
    <n v="268.97000000000003"/>
  </r>
  <r>
    <s v="CUST018"/>
    <s v="Lisa Thomas"/>
    <x v="2"/>
    <x v="2"/>
    <x v="133"/>
    <n v="1"/>
    <n v="0"/>
    <d v="2024-11-28T00:00:00"/>
    <n v="265.26"/>
  </r>
  <r>
    <s v="CUST001"/>
    <s v="Sarah Anderson"/>
    <x v="0"/>
    <x v="2"/>
    <x v="134"/>
    <n v="19"/>
    <n v="0.2"/>
    <d v="2024-11-29T00:00:00"/>
    <n v="178.91"/>
  </r>
  <r>
    <s v="CUST007"/>
    <s v="Emma Davis"/>
    <x v="3"/>
    <x v="4"/>
    <x v="135"/>
    <n v="3"/>
    <n v="0.05"/>
    <d v="2024-11-30T00:00:00"/>
    <n v="356.5"/>
  </r>
  <r>
    <s v="CUST015"/>
    <s v="David Anderson"/>
    <x v="0"/>
    <x v="3"/>
    <x v="136"/>
    <n v="4"/>
    <n v="0.2"/>
    <d v="2024-12-04T00:00:00"/>
    <n v="229.65"/>
  </r>
  <r>
    <s v="CUST015"/>
    <s v="Emma Davis"/>
    <x v="4"/>
    <x v="2"/>
    <x v="137"/>
    <n v="8"/>
    <n v="0.05"/>
    <d v="2024-12-05T00:00:00"/>
    <n v="121.54"/>
  </r>
  <r>
    <s v="CUST002"/>
    <s v="Emma Wilson"/>
    <x v="2"/>
    <x v="3"/>
    <x v="138"/>
    <n v="19"/>
    <n v="0.05"/>
    <d v="2024-12-12T00:00:00"/>
    <n v="268"/>
  </r>
  <r>
    <s v="CUST001"/>
    <s v="Michael Anderson"/>
    <x v="4"/>
    <x v="3"/>
    <x v="139"/>
    <n v="16"/>
    <n v="0.15"/>
    <d v="2024-12-14T00:00:00"/>
    <n v="426.16"/>
  </r>
  <r>
    <s v="CUST027"/>
    <s v="Linda Wilson"/>
    <x v="4"/>
    <x v="2"/>
    <x v="140"/>
    <n v="10"/>
    <n v="0.15"/>
    <d v="2024-12-14T00:00:00"/>
    <n v="316.32"/>
  </r>
  <r>
    <s v="CUST026"/>
    <s v="Emma Taylor"/>
    <x v="1"/>
    <x v="0"/>
    <x v="141"/>
    <n v="9"/>
    <n v="0"/>
    <d v="2024-12-20T00:00:00"/>
    <n v="492.5"/>
  </r>
  <r>
    <s v="CUST026"/>
    <s v="Sarah Anderson"/>
    <x v="0"/>
    <x v="2"/>
    <x v="142"/>
    <n v="19"/>
    <n v="0.2"/>
    <d v="2024-12-21T00:00:00"/>
    <n v="232.33"/>
  </r>
  <r>
    <s v="CUST022"/>
    <s v="Lisa Thomas"/>
    <x v="4"/>
    <x v="4"/>
    <x v="143"/>
    <n v="16"/>
    <n v="0.05"/>
    <d v="2024-12-24T00:00:00"/>
    <n v="165.97"/>
  </r>
  <r>
    <s v="CUST004"/>
    <s v="Mary Davis"/>
    <x v="3"/>
    <x v="1"/>
    <x v="144"/>
    <n v="6"/>
    <n v="0.15"/>
    <d v="2024-12-25T00:00:00"/>
    <n v="675.5"/>
  </r>
  <r>
    <s v="CUST001"/>
    <s v="David Anderson"/>
    <x v="3"/>
    <x v="1"/>
    <x v="145"/>
    <n v="13"/>
    <n v="0.2"/>
    <d v="2024-12-25T00:00:00"/>
    <n v="134.66"/>
  </r>
  <r>
    <s v="CUST022"/>
    <s v="James Wilson"/>
    <x v="0"/>
    <x v="0"/>
    <x v="146"/>
    <n v="14"/>
    <n v="0.1"/>
    <d v="2024-12-30T00:00:00"/>
    <n v="487.36"/>
  </r>
  <r>
    <s v="CUST011"/>
    <s v="Linda Moore"/>
    <x v="4"/>
    <x v="1"/>
    <x v="147"/>
    <n v="11"/>
    <n v="0.05"/>
    <d v="2025-01-01T00:00:00"/>
    <n v="314.74"/>
  </r>
  <r>
    <s v="CUST028"/>
    <s v="Lisa Davis"/>
    <x v="3"/>
    <x v="4"/>
    <x v="148"/>
    <n v="1"/>
    <n v="0.2"/>
    <d v="2025-01-01T00:00:00"/>
    <n v="111.39"/>
  </r>
  <r>
    <s v="CUST011"/>
    <s v="Linda Wilson"/>
    <x v="3"/>
    <x v="0"/>
    <x v="149"/>
    <n v="18"/>
    <n v="0.1"/>
    <d v="2025-01-02T00:00:00"/>
    <n v="318.47000000000003"/>
  </r>
  <r>
    <s v="CUST028"/>
    <s v="James Wilson"/>
    <x v="4"/>
    <x v="4"/>
    <x v="150"/>
    <n v="10"/>
    <n v="0.1"/>
    <d v="2025-01-03T00:00:00"/>
    <n v="301.75"/>
  </r>
  <r>
    <s v="CUST016"/>
    <s v="James Taylor"/>
    <x v="2"/>
    <x v="1"/>
    <x v="151"/>
    <n v="5"/>
    <n v="0.05"/>
    <d v="2025-01-03T00:00:00"/>
    <n v="413.36"/>
  </r>
  <r>
    <s v="CUST010"/>
    <s v="Linda Wilson"/>
    <x v="0"/>
    <x v="3"/>
    <x v="152"/>
    <n v="18"/>
    <n v="0.05"/>
    <d v="2025-01-06T00:00:00"/>
    <n v="286.68"/>
  </r>
  <r>
    <s v="CUST013"/>
    <s v="Mary Wilson"/>
    <x v="3"/>
    <x v="1"/>
    <x v="153"/>
    <n v="19"/>
    <n v="0.05"/>
    <d v="2025-01-10T00:00:00"/>
    <n v="556.30999999999995"/>
  </r>
  <r>
    <s v="CUST015"/>
    <s v="Robert Anderson"/>
    <x v="2"/>
    <x v="3"/>
    <x v="154"/>
    <n v="11"/>
    <n v="0.1"/>
    <d v="2025-01-12T00:00:00"/>
    <n v="332.19"/>
  </r>
  <r>
    <s v="CUST015"/>
    <s v="James Wilson"/>
    <x v="3"/>
    <x v="2"/>
    <x v="155"/>
    <n v="5"/>
    <n v="0.2"/>
    <d v="2025-01-13T00:00:00"/>
    <n v="336.24"/>
  </r>
  <r>
    <s v="CUST015"/>
    <s v="David Thomas"/>
    <x v="0"/>
    <x v="1"/>
    <x v="156"/>
    <n v="9"/>
    <n v="0.05"/>
    <d v="2025-01-16T00:00:00"/>
    <n v="180.39"/>
  </r>
  <r>
    <s v="CUST008"/>
    <s v="Lisa Thomas"/>
    <x v="4"/>
    <x v="1"/>
    <x v="157"/>
    <n v="2"/>
    <n v="0.1"/>
    <d v="2025-01-17T00:00:00"/>
    <n v="484.35"/>
  </r>
  <r>
    <s v="CUST008"/>
    <s v="Mary Davis"/>
    <x v="4"/>
    <x v="4"/>
    <x v="158"/>
    <n v="7"/>
    <n v="0"/>
    <d v="2025-01-17T00:00:00"/>
    <n v="562.82000000000005"/>
  </r>
  <r>
    <s v="CUST023"/>
    <s v="James Taylor"/>
    <x v="2"/>
    <x v="1"/>
    <x v="159"/>
    <n v="6"/>
    <n v="0.2"/>
    <d v="2025-01-17T00:00:00"/>
    <n v="447.34"/>
  </r>
  <r>
    <s v="CUST024"/>
    <s v="Linda Taylor"/>
    <x v="3"/>
    <x v="1"/>
    <x v="160"/>
    <n v="12"/>
    <n v="0.2"/>
    <d v="2025-01-20T00:00:00"/>
    <n v="649.04999999999995"/>
  </r>
  <r>
    <s v="CUST018"/>
    <s v="Lisa Davis"/>
    <x v="3"/>
    <x v="0"/>
    <x v="161"/>
    <n v="11"/>
    <n v="0.2"/>
    <d v="2025-01-21T00:00:00"/>
    <n v="205"/>
  </r>
  <r>
    <s v="CUST030"/>
    <s v="Sarah Anderson"/>
    <x v="0"/>
    <x v="1"/>
    <x v="162"/>
    <n v="17"/>
    <n v="0.1"/>
    <d v="2025-01-27T00:00:00"/>
    <n v="263.32"/>
  </r>
  <r>
    <s v="CUST030"/>
    <s v="Mary Davis"/>
    <x v="1"/>
    <x v="1"/>
    <x v="163"/>
    <n v="5"/>
    <n v="0.2"/>
    <d v="2025-02-02T00:00:00"/>
    <n v="443.99"/>
  </r>
  <r>
    <s v="CUST015"/>
    <s v="Lisa Thomas"/>
    <x v="1"/>
    <x v="0"/>
    <x v="164"/>
    <n v="9"/>
    <n v="0.1"/>
    <d v="2025-02-04T00:00:00"/>
    <n v="395.31"/>
  </r>
  <r>
    <s v="CUST002"/>
    <s v="Lisa Davis"/>
    <x v="0"/>
    <x v="4"/>
    <x v="165"/>
    <n v="7"/>
    <n v="0.1"/>
    <d v="2025-02-05T00:00:00"/>
    <n v="335.04"/>
  </r>
  <r>
    <s v="CUST024"/>
    <s v="Linda Wilson"/>
    <x v="4"/>
    <x v="1"/>
    <x v="166"/>
    <n v="16"/>
    <n v="0.1"/>
    <d v="2025-02-07T00:00:00"/>
    <n v="333.85"/>
  </r>
  <r>
    <s v="CUST004"/>
    <s v="James Davis"/>
    <x v="1"/>
    <x v="4"/>
    <x v="167"/>
    <n v="6"/>
    <n v="0.1"/>
    <d v="2025-02-10T00:00:00"/>
    <n v="531.05999999999995"/>
  </r>
  <r>
    <s v="CUST004"/>
    <s v="Mary Davis"/>
    <x v="2"/>
    <x v="4"/>
    <x v="168"/>
    <n v="19"/>
    <n v="0.1"/>
    <d v="2025-02-15T00:00:00"/>
    <n v="232.19"/>
  </r>
  <r>
    <s v="CUST028"/>
    <s v="James Wilson"/>
    <x v="0"/>
    <x v="2"/>
    <x v="169"/>
    <n v="14"/>
    <n v="0.2"/>
    <d v="2025-02-17T00:00:00"/>
    <n v="223.04"/>
  </r>
  <r>
    <s v="CUST012"/>
    <s v="Lisa Thomas"/>
    <x v="3"/>
    <x v="1"/>
    <x v="170"/>
    <n v="4"/>
    <n v="0"/>
    <d v="2025-02-19T00:00:00"/>
    <n v="422.92"/>
  </r>
  <r>
    <s v="CUST026"/>
    <s v="David Brown"/>
    <x v="0"/>
    <x v="2"/>
    <x v="171"/>
    <n v="3"/>
    <n v="0"/>
    <d v="2025-02-20T00:00:00"/>
    <n v="257.45"/>
  </r>
  <r>
    <s v="CUST009"/>
    <s v="Mary Davis"/>
    <x v="3"/>
    <x v="0"/>
    <x v="172"/>
    <n v="2"/>
    <n v="0.2"/>
    <d v="2025-02-21T00:00:00"/>
    <n v="380.75"/>
  </r>
  <r>
    <s v="CUST003"/>
    <s v="Sarah Anderson"/>
    <x v="2"/>
    <x v="0"/>
    <x v="173"/>
    <n v="15"/>
    <n v="0.2"/>
    <d v="2025-02-24T00:00:00"/>
    <n v="225.37"/>
  </r>
  <r>
    <s v="CUST002"/>
    <s v="Mary Jackson"/>
    <x v="4"/>
    <x v="4"/>
    <x v="174"/>
    <n v="12"/>
    <n v="0.2"/>
    <d v="2025-02-24T00:00:00"/>
    <n v="582.55999999999995"/>
  </r>
  <r>
    <s v="CUST013"/>
    <s v="Linda Taylor"/>
    <x v="4"/>
    <x v="0"/>
    <x v="175"/>
    <n v="2"/>
    <n v="0.15"/>
    <d v="2025-02-25T00:00:00"/>
    <n v="344.91"/>
  </r>
  <r>
    <s v="CUST018"/>
    <s v="Mary Davis"/>
    <x v="4"/>
    <x v="1"/>
    <x v="176"/>
    <n v="18"/>
    <n v="0.2"/>
    <d v="2025-02-27T00:00:00"/>
    <n v="330.79"/>
  </r>
  <r>
    <s v="CUST017"/>
    <s v="Mary Davis"/>
    <x v="4"/>
    <x v="1"/>
    <x v="177"/>
    <n v="8"/>
    <n v="0.1"/>
    <d v="2025-03-01T00:00:00"/>
    <n v="460"/>
  </r>
  <r>
    <s v="CUST004"/>
    <s v="Linda Wilson"/>
    <x v="1"/>
    <x v="0"/>
    <x v="178"/>
    <n v="6"/>
    <n v="0"/>
    <d v="2025-03-02T00:00:00"/>
    <n v="439.88"/>
  </r>
  <r>
    <s v="CUST028"/>
    <s v="Sarah Davis"/>
    <x v="3"/>
    <x v="0"/>
    <x v="179"/>
    <n v="8"/>
    <n v="0.1"/>
    <d v="2025-03-05T00:00:00"/>
    <n v="255.79"/>
  </r>
  <r>
    <s v="CUST028"/>
    <s v="Mary Wilson"/>
    <x v="3"/>
    <x v="0"/>
    <x v="180"/>
    <n v="15"/>
    <n v="0.2"/>
    <d v="2025-03-08T00:00:00"/>
    <n v="159.74"/>
  </r>
  <r>
    <s v="CUST014"/>
    <s v="Emma Davis"/>
    <x v="2"/>
    <x v="0"/>
    <x v="181"/>
    <n v="18"/>
    <n v="0.05"/>
    <d v="2025-03-09T00:00:00"/>
    <n v="404.39"/>
  </r>
  <r>
    <s v="CUST003"/>
    <s v="Emma Davis"/>
    <x v="1"/>
    <x v="4"/>
    <x v="182"/>
    <n v="18"/>
    <n v="0.05"/>
    <d v="2025-03-10T00:00:00"/>
    <n v="187.57"/>
  </r>
  <r>
    <s v="CUST029"/>
    <s v="David Brown"/>
    <x v="0"/>
    <x v="1"/>
    <x v="183"/>
    <n v="2"/>
    <n v="0.05"/>
    <d v="2025-03-11T00:00:00"/>
    <n v="410.87"/>
  </r>
  <r>
    <s v="CUST021"/>
    <s v="David Brown"/>
    <x v="0"/>
    <x v="3"/>
    <x v="184"/>
    <n v="14"/>
    <n v="0.2"/>
    <d v="2025-03-17T00:00:00"/>
    <n v="275.77999999999997"/>
  </r>
  <r>
    <s v="CUST007"/>
    <s v="David Brown"/>
    <x v="0"/>
    <x v="1"/>
    <x v="185"/>
    <n v="18"/>
    <n v="0"/>
    <d v="2025-03-18T00:00:00"/>
    <n v="746.74"/>
  </r>
  <r>
    <s v="CUST009"/>
    <s v="Linda Taylor"/>
    <x v="2"/>
    <x v="1"/>
    <x v="186"/>
    <n v="9"/>
    <n v="0.1"/>
    <d v="2025-03-20T00:00:00"/>
    <n v="310.24"/>
  </r>
  <r>
    <s v="CUST023"/>
    <s v="Mary Wilson"/>
    <x v="2"/>
    <x v="1"/>
    <x v="187"/>
    <n v="1"/>
    <n v="0"/>
    <d v="2025-03-22T00:00:00"/>
    <n v="341.12"/>
  </r>
  <r>
    <s v="CUST029"/>
    <s v="Michael Anderson"/>
    <x v="3"/>
    <x v="2"/>
    <x v="188"/>
    <n v="15"/>
    <n v="0.2"/>
    <d v="2025-03-25T00:00:00"/>
    <n v="91.71"/>
  </r>
  <r>
    <s v="CUST009"/>
    <s v="Michael Anderson"/>
    <x v="2"/>
    <x v="3"/>
    <x v="189"/>
    <n v="11"/>
    <n v="0.2"/>
    <d v="2025-03-26T00:00:00"/>
    <n v="331.59"/>
  </r>
  <r>
    <s v="CUST007"/>
    <s v="James Davis"/>
    <x v="2"/>
    <x v="1"/>
    <x v="190"/>
    <n v="9"/>
    <n v="0"/>
    <d v="2025-03-27T00:00:00"/>
    <n v="381.07"/>
  </r>
  <r>
    <s v="CUST030"/>
    <s v="Linda Taylor"/>
    <x v="3"/>
    <x v="0"/>
    <x v="191"/>
    <n v="10"/>
    <n v="0.15"/>
    <d v="2025-03-27T00:00:00"/>
    <n v="255.24"/>
  </r>
  <r>
    <s v="CUST018"/>
    <s v="David Anderson"/>
    <x v="4"/>
    <x v="1"/>
    <x v="192"/>
    <n v="14"/>
    <n v="0.05"/>
    <d v="2025-03-29T00:00:00"/>
    <n v="692.05"/>
  </r>
  <r>
    <s v="CUST008"/>
    <s v="Emma Wilson"/>
    <x v="1"/>
    <x v="3"/>
    <x v="193"/>
    <n v="17"/>
    <n v="0.1"/>
    <d v="2025-03-29T00:00:00"/>
    <n v="344.41"/>
  </r>
  <r>
    <s v="CUST014"/>
    <s v="Sarah Anderson"/>
    <x v="0"/>
    <x v="1"/>
    <x v="194"/>
    <n v="8"/>
    <n v="0.15"/>
    <d v="2025-03-30T00:00:00"/>
    <n v="397.06"/>
  </r>
  <r>
    <s v="CUST024"/>
    <s v="David Thomas"/>
    <x v="4"/>
    <x v="1"/>
    <x v="195"/>
    <n v="8"/>
    <n v="0.2"/>
    <d v="2025-03-30T00:00:00"/>
    <n v="586.14"/>
  </r>
  <r>
    <s v="CUST028"/>
    <s v="Robert Anderson"/>
    <x v="2"/>
    <x v="4"/>
    <x v="196"/>
    <n v="3"/>
    <n v="0"/>
    <d v="2025-04-02T00:00:00"/>
    <n v="333.36"/>
  </r>
  <r>
    <s v="CUST015"/>
    <s v="Sarah Anderson"/>
    <x v="0"/>
    <x v="4"/>
    <x v="197"/>
    <n v="17"/>
    <n v="0"/>
    <d v="2025-04-05T00:00:00"/>
    <n v="245.45"/>
  </r>
  <r>
    <s v="CUST010"/>
    <s v="David Thomas"/>
    <x v="1"/>
    <x v="0"/>
    <x v="198"/>
    <n v="8"/>
    <n v="0.05"/>
    <d v="2025-04-05T00:00:00"/>
    <n v="379.09"/>
  </r>
  <r>
    <s v="CUST016"/>
    <s v="David Thomas"/>
    <x v="2"/>
    <x v="1"/>
    <x v="199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C980E-1163-4525-9AD1-EA577969AA8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 Category">
  <location ref="D24:E30" firstHeaderRow="1" firstDataRow="1" firstDataCol="1"/>
  <pivotFields count="9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201">
        <item x="129"/>
        <item x="148"/>
        <item x="145"/>
        <item x="156"/>
        <item x="143"/>
        <item x="21"/>
        <item x="182"/>
        <item x="188"/>
        <item x="35"/>
        <item x="61"/>
        <item x="180"/>
        <item x="8"/>
        <item x="137"/>
        <item x="77"/>
        <item x="14"/>
        <item x="72"/>
        <item x="197"/>
        <item x="42"/>
        <item x="168"/>
        <item x="39"/>
        <item x="162"/>
        <item x="100"/>
        <item x="70"/>
        <item x="17"/>
        <item x="161"/>
        <item x="19"/>
        <item x="114"/>
        <item x="147"/>
        <item x="26"/>
        <item x="80"/>
        <item x="187"/>
        <item x="115"/>
        <item x="186"/>
        <item x="111"/>
        <item x="173"/>
        <item x="23"/>
        <item x="125"/>
        <item x="179"/>
        <item x="2"/>
        <item x="123"/>
        <item x="91"/>
        <item x="108"/>
        <item x="9"/>
        <item x="196"/>
        <item x="57"/>
        <item x="166"/>
        <item x="22"/>
        <item x="150"/>
        <item x="191"/>
        <item x="3"/>
        <item x="190"/>
        <item x="113"/>
        <item x="38"/>
        <item x="49"/>
        <item x="82"/>
        <item x="29"/>
        <item x="73"/>
        <item x="69"/>
        <item x="138"/>
        <item x="54"/>
        <item x="136"/>
        <item x="13"/>
        <item x="98"/>
        <item x="176"/>
        <item x="165"/>
        <item x="135"/>
        <item x="43"/>
        <item x="36"/>
        <item x="170"/>
        <item x="4"/>
        <item x="32"/>
        <item x="132"/>
        <item x="45"/>
        <item x="152"/>
        <item x="183"/>
        <item x="151"/>
        <item x="86"/>
        <item x="92"/>
        <item x="66"/>
        <item x="16"/>
        <item x="149"/>
        <item x="134"/>
        <item x="99"/>
        <item x="95"/>
        <item x="55"/>
        <item x="128"/>
        <item x="103"/>
        <item x="24"/>
        <item x="199"/>
        <item x="62"/>
        <item x="194"/>
        <item x="27"/>
        <item x="53"/>
        <item x="20"/>
        <item x="119"/>
        <item x="105"/>
        <item x="5"/>
        <item x="94"/>
        <item x="33"/>
        <item x="56"/>
        <item x="110"/>
        <item x="71"/>
        <item x="28"/>
        <item x="184"/>
        <item x="101"/>
        <item x="198"/>
        <item x="47"/>
        <item x="63"/>
        <item x="118"/>
        <item x="102"/>
        <item x="117"/>
        <item x="175"/>
        <item x="122"/>
        <item x="68"/>
        <item x="50"/>
        <item x="177"/>
        <item x="31"/>
        <item x="41"/>
        <item x="171"/>
        <item x="65"/>
        <item x="0"/>
        <item x="154"/>
        <item x="133"/>
        <item x="181"/>
        <item x="83"/>
        <item x="7"/>
        <item x="157"/>
        <item x="120"/>
        <item x="106"/>
        <item x="52"/>
        <item x="193"/>
        <item x="164"/>
        <item x="178"/>
        <item x="64"/>
        <item x="1"/>
        <item x="90"/>
        <item x="163"/>
        <item x="78"/>
        <item x="169"/>
        <item x="159"/>
        <item x="81"/>
        <item x="131"/>
        <item x="40"/>
        <item x="88"/>
        <item x="93"/>
        <item x="142"/>
        <item x="121"/>
        <item x="84"/>
        <item x="153"/>
        <item x="96"/>
        <item x="25"/>
        <item x="189"/>
        <item x="48"/>
        <item x="172"/>
        <item x="12"/>
        <item x="112"/>
        <item x="34"/>
        <item x="97"/>
        <item x="130"/>
        <item x="75"/>
        <item x="46"/>
        <item x="51"/>
        <item x="44"/>
        <item x="141"/>
        <item x="58"/>
        <item x="116"/>
        <item x="158"/>
        <item x="76"/>
        <item x="89"/>
        <item x="124"/>
        <item x="104"/>
        <item x="79"/>
        <item x="109"/>
        <item x="167"/>
        <item x="6"/>
        <item x="85"/>
        <item x="11"/>
        <item x="127"/>
        <item x="146"/>
        <item x="59"/>
        <item x="67"/>
        <item x="60"/>
        <item x="37"/>
        <item x="126"/>
        <item x="139"/>
        <item x="87"/>
        <item x="30"/>
        <item x="192"/>
        <item x="195"/>
        <item x="140"/>
        <item x="185"/>
        <item x="15"/>
        <item x="18"/>
        <item x="74"/>
        <item x="10"/>
        <item x="144"/>
        <item x="174"/>
        <item x="160"/>
        <item x="155"/>
        <item x="107"/>
        <item t="default"/>
      </items>
    </pivotField>
    <pivotField showAll="0"/>
    <pivotField showAll="0"/>
    <pivotField numFmtId="16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21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15">
    <chartFormat chart="0" format="20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2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D5268-7A16-49B5-80B6-6CE472A7FD85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 rowHeaderCaption="Region" colHeaderCaption="Category">
  <location ref="A5:G12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formats count="22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3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Col="1" outline="0" fieldPosition="0"/>
    </format>
    <format dxfId="34">
      <pivotArea type="all" dataOnly="0" outline="0" fieldPosition="0"/>
    </format>
    <format dxfId="33">
      <pivotArea type="all" dataOnly="0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3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Col="1" outline="0" fieldPosition="0"/>
    </format>
  </formats>
  <chartFormats count="10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E9E5D-183F-46EA-8170-78B24D206C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 rowHeaderCaption="Region" colHeaderCaption="Product Category">
  <location ref="A24:B30" firstHeaderRow="1" firstDataRow="1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47"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3" type="button" dataOnly="0" labelOnly="1" outline="0"/>
    </format>
    <format dxfId="87">
      <pivotArea type="topRight" dataOnly="0" labelOnly="1" outline="0" fieldPosition="0"/>
    </format>
    <format dxfId="86">
      <pivotArea field="2" type="button" dataOnly="0" labelOnly="1" outline="0" axis="axisRow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grandRow="1" outline="0" fieldPosition="0"/>
    </format>
    <format dxfId="83">
      <pivotArea dataOnly="0" labelOnly="1" grandCol="1" outline="0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3" type="button" dataOnly="0" labelOnly="1" outline="0"/>
    </format>
    <format dxfId="78">
      <pivotArea type="topRight" dataOnly="0" labelOnly="1" outline="0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grandRow="1" outline="0" fieldPosition="0"/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3" type="button" dataOnly="0" labelOnly="1" outline="0"/>
    </format>
    <format dxfId="69">
      <pivotArea type="topRight" dataOnly="0" labelOnly="1" outline="0" fieldPosition="0"/>
    </format>
    <format dxfId="68">
      <pivotArea field="2" type="button" dataOnly="0" labelOnly="1" outline="0" axis="axisRow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Row="1" outline="0" fieldPosition="0"/>
    </format>
    <format dxfId="65">
      <pivotArea dataOnly="0" labelOnly="1" grandCol="1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3" type="button" dataOnly="0" labelOnly="1" outline="0"/>
    </format>
    <format dxfId="60">
      <pivotArea type="topRight" dataOnly="0" labelOnly="1" outline="0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Row="1" outline="0" fieldPosition="0"/>
    </format>
    <format dxfId="56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3" type="button" dataOnly="0" labelOnly="1" outline="0"/>
    </format>
    <format dxfId="51">
      <pivotArea type="topRight" dataOnly="0" labelOnly="1" outline="0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Col="1" outline="0" fieldPosition="0"/>
    </format>
    <format dxfId="48">
      <pivotArea field="2" type="button" dataOnly="0" labelOnly="1" outline="0" axis="axisRow" fieldPosition="0"/>
    </format>
    <format dxfId="47">
      <pivotArea dataOnly="0" labelOnly="1" outline="0" axis="axisValues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9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9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9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9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6ACC0-6DF9-4DC9-AABF-2688D8C2E8C3}" name="Table1" displayName="Table1" ref="A1:I201" totalsRowShown="0" headerRowDxfId="102" dataDxfId="101">
  <autoFilter ref="A1:I201" xr:uid="{A8D6ACC0-6DF9-4DC9-AABF-2688D8C2E8C3}"/>
  <tableColumns count="9">
    <tableColumn id="1" xr3:uid="{BBA45D9A-033B-40F4-AF8D-3BFD4718B7F2}" name="Customer_ID" dataDxfId="100"/>
    <tableColumn id="2" xr3:uid="{BC0F15B7-14BA-4F8E-A1DB-8EEADBBC1804}" name="Customer_Name" dataDxfId="99"/>
    <tableColumn id="3" xr3:uid="{448DD5F8-1C5D-45B5-8AEF-34140AE686C9}" name="Region" dataDxfId="98"/>
    <tableColumn id="4" xr3:uid="{AB887050-21BD-4403-9AC4-AE59AF90BA7B}" name="Product_Category" dataDxfId="97"/>
    <tableColumn id="5" xr3:uid="{80B79574-0763-48E8-A1EB-1E7D249B0794}" name="Sales" dataDxfId="96"/>
    <tableColumn id="6" xr3:uid="{559E8D2E-6921-4DD8-89E3-39BD2DC35837}" name="Quantity" dataDxfId="95"/>
    <tableColumn id="7" xr3:uid="{96991A20-194E-498E-A3CE-15714C17E5C0}" name="Discount" dataDxfId="94"/>
    <tableColumn id="8" xr3:uid="{58FD0715-C71D-4336-8B02-00FF04B4A247}" name="Order_Date" dataDxfId="93"/>
    <tableColumn id="9" xr3:uid="{C92496EE-374C-4728-AD7A-48C5C4B9D1DF}" name="Profit" dataDxfId="9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K1" sqref="K1"/>
    </sheetView>
  </sheetViews>
  <sheetFormatPr defaultColWidth="14.44140625" defaultRowHeight="15" customHeight="1" x14ac:dyDescent="0.3"/>
  <cols>
    <col min="1" max="1" width="12.44140625" customWidth="1"/>
    <col min="2" max="2" width="16.5546875" customWidth="1"/>
    <col min="3" max="3" width="7.33203125" customWidth="1"/>
    <col min="4" max="4" width="16.6640625" customWidth="1"/>
    <col min="5" max="5" width="8" customWidth="1"/>
    <col min="6" max="6" width="8.88671875" customWidth="1"/>
    <col min="7" max="7" width="8.6640625" customWidth="1"/>
    <col min="8" max="8" width="11.33203125" customWidth="1"/>
    <col min="9" max="9" width="7" customWidth="1"/>
    <col min="10" max="10" width="22.21875" bestFit="1" customWidth="1"/>
    <col min="11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1036.0899999999999</v>
      </c>
      <c r="F2" s="2">
        <v>4</v>
      </c>
      <c r="G2" s="2">
        <v>0.2</v>
      </c>
      <c r="H2" s="3">
        <v>45392</v>
      </c>
      <c r="I2" s="2">
        <v>331.55</v>
      </c>
    </row>
    <row r="3" spans="1:26" ht="14.4" x14ac:dyDescent="0.3">
      <c r="A3" s="2" t="s">
        <v>13</v>
      </c>
      <c r="B3" s="2" t="s">
        <v>14</v>
      </c>
      <c r="C3" s="2" t="s">
        <v>11</v>
      </c>
      <c r="D3" s="2" t="s">
        <v>15</v>
      </c>
      <c r="E3" s="2">
        <v>1101.28</v>
      </c>
      <c r="F3" s="2">
        <v>3</v>
      </c>
      <c r="G3" s="2">
        <v>0.2</v>
      </c>
      <c r="H3" s="3">
        <v>45393</v>
      </c>
      <c r="I3" s="2">
        <v>440.51</v>
      </c>
    </row>
    <row r="4" spans="1:26" ht="14.4" x14ac:dyDescent="0.3">
      <c r="A4" s="2" t="s">
        <v>16</v>
      </c>
      <c r="B4" s="2" t="s">
        <v>17</v>
      </c>
      <c r="C4" s="2" t="s">
        <v>18</v>
      </c>
      <c r="D4" s="2" t="s">
        <v>12</v>
      </c>
      <c r="E4" s="2">
        <v>713.34</v>
      </c>
      <c r="F4" s="2">
        <v>17</v>
      </c>
      <c r="G4" s="2">
        <v>0</v>
      </c>
      <c r="H4" s="3">
        <v>45396</v>
      </c>
      <c r="I4" s="2">
        <v>285.33999999999997</v>
      </c>
    </row>
    <row r="5" spans="1:26" ht="14.4" x14ac:dyDescent="0.3">
      <c r="A5" s="2" t="s">
        <v>19</v>
      </c>
      <c r="B5" s="2" t="s">
        <v>14</v>
      </c>
      <c r="C5" s="2" t="s">
        <v>20</v>
      </c>
      <c r="D5" s="2" t="s">
        <v>21</v>
      </c>
      <c r="E5" s="2">
        <v>760.93</v>
      </c>
      <c r="F5" s="2">
        <v>4</v>
      </c>
      <c r="G5" s="2">
        <v>0.15</v>
      </c>
      <c r="H5" s="3">
        <v>45396</v>
      </c>
      <c r="I5" s="2">
        <v>161.69999999999999</v>
      </c>
    </row>
    <row r="6" spans="1:26" ht="14.4" x14ac:dyDescent="0.3">
      <c r="A6" s="2" t="s">
        <v>22</v>
      </c>
      <c r="B6" s="2" t="s">
        <v>23</v>
      </c>
      <c r="C6" s="2" t="s">
        <v>24</v>
      </c>
      <c r="D6" s="2" t="s">
        <v>12</v>
      </c>
      <c r="E6" s="2">
        <v>847</v>
      </c>
      <c r="F6" s="2">
        <v>12</v>
      </c>
      <c r="G6" s="2">
        <v>0.2</v>
      </c>
      <c r="H6" s="3">
        <v>45397</v>
      </c>
      <c r="I6" s="2">
        <v>271.04000000000002</v>
      </c>
    </row>
    <row r="7" spans="1:26" ht="14.4" x14ac:dyDescent="0.3">
      <c r="A7" s="2" t="s">
        <v>25</v>
      </c>
      <c r="B7" s="2" t="s">
        <v>26</v>
      </c>
      <c r="C7" s="2" t="s">
        <v>24</v>
      </c>
      <c r="D7" s="2" t="s">
        <v>27</v>
      </c>
      <c r="E7" s="2">
        <v>965.64</v>
      </c>
      <c r="F7" s="2">
        <v>8</v>
      </c>
      <c r="G7" s="2">
        <v>0.1</v>
      </c>
      <c r="H7" s="3">
        <v>45398</v>
      </c>
      <c r="I7" s="2">
        <v>304.18</v>
      </c>
    </row>
    <row r="8" spans="1:26" ht="14.4" x14ac:dyDescent="0.3">
      <c r="A8" s="2" t="s">
        <v>28</v>
      </c>
      <c r="B8" s="2" t="s">
        <v>29</v>
      </c>
      <c r="C8" s="2" t="s">
        <v>11</v>
      </c>
      <c r="D8" s="2" t="s">
        <v>21</v>
      </c>
      <c r="E8" s="2">
        <v>1317.53</v>
      </c>
      <c r="F8" s="2">
        <v>12</v>
      </c>
      <c r="G8" s="2">
        <v>0.05</v>
      </c>
      <c r="H8" s="3">
        <v>45398</v>
      </c>
      <c r="I8" s="2">
        <v>312.91000000000003</v>
      </c>
    </row>
    <row r="9" spans="1:26" ht="14.4" x14ac:dyDescent="0.3">
      <c r="A9" s="2" t="s">
        <v>30</v>
      </c>
      <c r="B9" s="2" t="s">
        <v>31</v>
      </c>
      <c r="C9" s="2" t="s">
        <v>18</v>
      </c>
      <c r="D9" s="2" t="s">
        <v>27</v>
      </c>
      <c r="E9" s="2">
        <v>1074.47</v>
      </c>
      <c r="F9" s="2">
        <v>6</v>
      </c>
      <c r="G9" s="2">
        <v>0.2</v>
      </c>
      <c r="H9" s="3">
        <v>45401</v>
      </c>
      <c r="I9" s="2">
        <v>300.85000000000002</v>
      </c>
    </row>
    <row r="10" spans="1:26" ht="14.4" x14ac:dyDescent="0.3">
      <c r="A10" s="2" t="s">
        <v>32</v>
      </c>
      <c r="B10" s="2" t="s">
        <v>33</v>
      </c>
      <c r="C10" s="2" t="s">
        <v>34</v>
      </c>
      <c r="D10" s="2" t="s">
        <v>12</v>
      </c>
      <c r="E10" s="2">
        <v>501.54</v>
      </c>
      <c r="F10" s="2">
        <v>11</v>
      </c>
      <c r="G10" s="2">
        <v>0.05</v>
      </c>
      <c r="H10" s="3">
        <v>45401</v>
      </c>
      <c r="I10" s="2">
        <v>190.59</v>
      </c>
    </row>
    <row r="11" spans="1:26" ht="14.4" x14ac:dyDescent="0.3">
      <c r="A11" s="2" t="s">
        <v>35</v>
      </c>
      <c r="B11" s="2" t="s">
        <v>36</v>
      </c>
      <c r="C11" s="2" t="s">
        <v>34</v>
      </c>
      <c r="D11" s="2" t="s">
        <v>15</v>
      </c>
      <c r="E11" s="2">
        <v>737.31</v>
      </c>
      <c r="F11" s="2">
        <v>2</v>
      </c>
      <c r="G11" s="2">
        <v>0.05</v>
      </c>
      <c r="H11" s="3">
        <v>45401</v>
      </c>
      <c r="I11" s="2">
        <v>350.22</v>
      </c>
    </row>
    <row r="12" spans="1:26" ht="14.4" x14ac:dyDescent="0.3">
      <c r="A12" s="2" t="s">
        <v>37</v>
      </c>
      <c r="B12" s="2" t="s">
        <v>38</v>
      </c>
      <c r="C12" s="2" t="s">
        <v>11</v>
      </c>
      <c r="D12" s="2" t="s">
        <v>39</v>
      </c>
      <c r="E12" s="2">
        <v>1572.82</v>
      </c>
      <c r="F12" s="2">
        <v>6</v>
      </c>
      <c r="G12" s="2">
        <v>0.05</v>
      </c>
      <c r="H12" s="3">
        <v>45402</v>
      </c>
      <c r="I12" s="2">
        <v>672.38</v>
      </c>
    </row>
    <row r="13" spans="1:26" ht="14.4" x14ac:dyDescent="0.3">
      <c r="A13" s="2" t="s">
        <v>37</v>
      </c>
      <c r="B13" s="2" t="s">
        <v>36</v>
      </c>
      <c r="C13" s="2" t="s">
        <v>34</v>
      </c>
      <c r="D13" s="2" t="s">
        <v>12</v>
      </c>
      <c r="E13" s="2">
        <v>1343.13</v>
      </c>
      <c r="F13" s="2">
        <v>14</v>
      </c>
      <c r="G13" s="2">
        <v>0.15</v>
      </c>
      <c r="H13" s="3">
        <v>45404</v>
      </c>
      <c r="I13" s="2">
        <v>456.66</v>
      </c>
    </row>
    <row r="14" spans="1:26" ht="14.4" x14ac:dyDescent="0.3">
      <c r="A14" s="2" t="s">
        <v>25</v>
      </c>
      <c r="B14" s="2" t="s">
        <v>26</v>
      </c>
      <c r="C14" s="2" t="s">
        <v>34</v>
      </c>
      <c r="D14" s="2" t="s">
        <v>12</v>
      </c>
      <c r="E14" s="2">
        <v>1191.58</v>
      </c>
      <c r="F14" s="2">
        <v>14</v>
      </c>
      <c r="G14" s="2">
        <v>0.05</v>
      </c>
      <c r="H14" s="3">
        <v>45406</v>
      </c>
      <c r="I14" s="2">
        <v>452.8</v>
      </c>
    </row>
    <row r="15" spans="1:26" ht="14.4" x14ac:dyDescent="0.3">
      <c r="A15" s="2" t="s">
        <v>40</v>
      </c>
      <c r="B15" s="2" t="s">
        <v>14</v>
      </c>
      <c r="C15" s="2" t="s">
        <v>11</v>
      </c>
      <c r="D15" s="2" t="s">
        <v>27</v>
      </c>
      <c r="E15" s="2">
        <v>822.28</v>
      </c>
      <c r="F15" s="2">
        <v>7</v>
      </c>
      <c r="G15" s="2">
        <v>0.05</v>
      </c>
      <c r="H15" s="3">
        <v>45406</v>
      </c>
      <c r="I15" s="2">
        <v>273.41000000000003</v>
      </c>
    </row>
    <row r="16" spans="1:26" ht="14.4" x14ac:dyDescent="0.3">
      <c r="A16" s="2" t="s">
        <v>41</v>
      </c>
      <c r="B16" s="2" t="s">
        <v>42</v>
      </c>
      <c r="C16" s="2" t="s">
        <v>24</v>
      </c>
      <c r="D16" s="2" t="s">
        <v>27</v>
      </c>
      <c r="E16" s="2">
        <v>521.66999999999996</v>
      </c>
      <c r="F16" s="2">
        <v>15</v>
      </c>
      <c r="G16" s="2">
        <v>0.15</v>
      </c>
      <c r="H16" s="3">
        <v>45409</v>
      </c>
      <c r="I16" s="2">
        <v>155.19999999999999</v>
      </c>
    </row>
    <row r="17" spans="1:9" ht="14.4" x14ac:dyDescent="0.3">
      <c r="A17" s="2" t="s">
        <v>19</v>
      </c>
      <c r="B17" s="2" t="s">
        <v>43</v>
      </c>
      <c r="C17" s="2" t="s">
        <v>20</v>
      </c>
      <c r="D17" s="2" t="s">
        <v>21</v>
      </c>
      <c r="E17" s="2">
        <v>1502.93</v>
      </c>
      <c r="F17" s="2">
        <v>14</v>
      </c>
      <c r="G17" s="2">
        <v>0.2</v>
      </c>
      <c r="H17" s="3">
        <v>45410</v>
      </c>
      <c r="I17" s="2">
        <v>300.58999999999997</v>
      </c>
    </row>
    <row r="18" spans="1:9" ht="14.4" x14ac:dyDescent="0.3">
      <c r="A18" s="2" t="s">
        <v>44</v>
      </c>
      <c r="B18" s="2" t="s">
        <v>14</v>
      </c>
      <c r="C18" s="2" t="s">
        <v>20</v>
      </c>
      <c r="D18" s="2" t="s">
        <v>12</v>
      </c>
      <c r="E18" s="2">
        <v>877.58</v>
      </c>
      <c r="F18" s="2">
        <v>10</v>
      </c>
      <c r="G18" s="2">
        <v>0.15</v>
      </c>
      <c r="H18" s="3">
        <v>45411</v>
      </c>
      <c r="I18" s="2">
        <v>298.38</v>
      </c>
    </row>
    <row r="19" spans="1:9" ht="14.4" x14ac:dyDescent="0.3">
      <c r="A19" s="2" t="s">
        <v>28</v>
      </c>
      <c r="B19" s="2" t="s">
        <v>45</v>
      </c>
      <c r="C19" s="2" t="s">
        <v>11</v>
      </c>
      <c r="D19" s="2" t="s">
        <v>12</v>
      </c>
      <c r="E19" s="2">
        <v>636.70000000000005</v>
      </c>
      <c r="F19" s="2">
        <v>4</v>
      </c>
      <c r="G19" s="2">
        <v>0.2</v>
      </c>
      <c r="H19" s="3">
        <v>45411</v>
      </c>
      <c r="I19" s="2">
        <v>203.74</v>
      </c>
    </row>
    <row r="20" spans="1:9" ht="14.4" x14ac:dyDescent="0.3">
      <c r="A20" s="2" t="s">
        <v>46</v>
      </c>
      <c r="B20" s="2" t="s">
        <v>47</v>
      </c>
      <c r="C20" s="2" t="s">
        <v>11</v>
      </c>
      <c r="D20" s="2" t="s">
        <v>12</v>
      </c>
      <c r="E20" s="2">
        <v>1506.14</v>
      </c>
      <c r="F20" s="2">
        <v>13</v>
      </c>
      <c r="G20" s="2">
        <v>0.2</v>
      </c>
      <c r="H20" s="3">
        <v>45412</v>
      </c>
      <c r="I20" s="2">
        <v>481.96</v>
      </c>
    </row>
    <row r="21" spans="1:9" ht="15.75" customHeight="1" x14ac:dyDescent="0.3">
      <c r="A21" s="2" t="s">
        <v>30</v>
      </c>
      <c r="B21" s="2" t="s">
        <v>31</v>
      </c>
      <c r="C21" s="2" t="s">
        <v>34</v>
      </c>
      <c r="D21" s="2" t="s">
        <v>21</v>
      </c>
      <c r="E21" s="2">
        <v>645.02</v>
      </c>
      <c r="F21" s="2">
        <v>4</v>
      </c>
      <c r="G21" s="2">
        <v>0</v>
      </c>
      <c r="H21" s="3">
        <v>45414</v>
      </c>
      <c r="I21" s="2">
        <v>161.26</v>
      </c>
    </row>
    <row r="22" spans="1:9" ht="15.75" customHeight="1" x14ac:dyDescent="0.3">
      <c r="A22" s="2" t="s">
        <v>25</v>
      </c>
      <c r="B22" s="2" t="s">
        <v>48</v>
      </c>
      <c r="C22" s="2" t="s">
        <v>20</v>
      </c>
      <c r="D22" s="2" t="s">
        <v>15</v>
      </c>
      <c r="E22" s="2">
        <v>953.3</v>
      </c>
      <c r="F22" s="2">
        <v>11</v>
      </c>
      <c r="G22" s="2">
        <v>0</v>
      </c>
      <c r="H22" s="3">
        <v>45415</v>
      </c>
      <c r="I22" s="2">
        <v>476.65</v>
      </c>
    </row>
    <row r="23" spans="1:9" ht="15.75" customHeight="1" x14ac:dyDescent="0.3">
      <c r="A23" s="2" t="s">
        <v>49</v>
      </c>
      <c r="B23" s="2" t="s">
        <v>14</v>
      </c>
      <c r="C23" s="2" t="s">
        <v>24</v>
      </c>
      <c r="D23" s="2" t="s">
        <v>21</v>
      </c>
      <c r="E23" s="2">
        <v>388.56</v>
      </c>
      <c r="F23" s="2">
        <v>14</v>
      </c>
      <c r="G23" s="2">
        <v>0.15</v>
      </c>
      <c r="H23" s="3">
        <v>45416</v>
      </c>
      <c r="I23" s="2">
        <v>82.57</v>
      </c>
    </row>
    <row r="24" spans="1:9" ht="15.75" customHeight="1" x14ac:dyDescent="0.3">
      <c r="A24" s="2" t="s">
        <v>9</v>
      </c>
      <c r="B24" s="2" t="s">
        <v>31</v>
      </c>
      <c r="C24" s="2" t="s">
        <v>11</v>
      </c>
      <c r="D24" s="2" t="s">
        <v>12</v>
      </c>
      <c r="E24" s="2">
        <v>743.17</v>
      </c>
      <c r="F24" s="2">
        <v>9</v>
      </c>
      <c r="G24" s="2">
        <v>0</v>
      </c>
      <c r="H24" s="3">
        <v>45416</v>
      </c>
      <c r="I24" s="2">
        <v>297.27</v>
      </c>
    </row>
    <row r="25" spans="1:9" ht="15.75" customHeight="1" x14ac:dyDescent="0.3">
      <c r="A25" s="2" t="s">
        <v>40</v>
      </c>
      <c r="B25" s="2" t="s">
        <v>31</v>
      </c>
      <c r="C25" s="2" t="s">
        <v>34</v>
      </c>
      <c r="D25" s="2" t="s">
        <v>21</v>
      </c>
      <c r="E25" s="2">
        <v>706.37</v>
      </c>
      <c r="F25" s="2">
        <v>6</v>
      </c>
      <c r="G25" s="2">
        <v>0</v>
      </c>
      <c r="H25" s="3">
        <v>45416</v>
      </c>
      <c r="I25" s="2">
        <v>176.59</v>
      </c>
    </row>
    <row r="26" spans="1:9" ht="15.75" customHeight="1" x14ac:dyDescent="0.3">
      <c r="A26" s="2" t="s">
        <v>13</v>
      </c>
      <c r="B26" s="2" t="s">
        <v>31</v>
      </c>
      <c r="C26" s="2" t="s">
        <v>34</v>
      </c>
      <c r="D26" s="2" t="s">
        <v>39</v>
      </c>
      <c r="E26" s="2">
        <v>925.31</v>
      </c>
      <c r="F26" s="2">
        <v>8</v>
      </c>
      <c r="G26" s="2">
        <v>0.1</v>
      </c>
      <c r="H26" s="3">
        <v>45418</v>
      </c>
      <c r="I26" s="2">
        <v>374.75</v>
      </c>
    </row>
    <row r="27" spans="1:9" ht="15.75" customHeight="1" x14ac:dyDescent="0.3">
      <c r="A27" s="2" t="s">
        <v>35</v>
      </c>
      <c r="B27" s="2" t="s">
        <v>50</v>
      </c>
      <c r="C27" s="2" t="s">
        <v>20</v>
      </c>
      <c r="D27" s="2" t="s">
        <v>21</v>
      </c>
      <c r="E27" s="2">
        <v>1173.1199999999999</v>
      </c>
      <c r="F27" s="2">
        <v>18</v>
      </c>
      <c r="G27" s="2">
        <v>0</v>
      </c>
      <c r="H27" s="3">
        <v>45418</v>
      </c>
      <c r="I27" s="2">
        <v>293.27999999999997</v>
      </c>
    </row>
    <row r="28" spans="1:9" ht="15.75" customHeight="1" x14ac:dyDescent="0.3">
      <c r="A28" s="2" t="s">
        <v>22</v>
      </c>
      <c r="B28" s="2" t="s">
        <v>51</v>
      </c>
      <c r="C28" s="2" t="s">
        <v>24</v>
      </c>
      <c r="D28" s="2" t="s">
        <v>27</v>
      </c>
      <c r="E28" s="2">
        <v>675.54</v>
      </c>
      <c r="F28" s="2">
        <v>17</v>
      </c>
      <c r="G28" s="2">
        <v>0</v>
      </c>
      <c r="H28" s="3">
        <v>45420</v>
      </c>
      <c r="I28" s="2">
        <v>236.44</v>
      </c>
    </row>
    <row r="29" spans="1:9" ht="15.75" customHeight="1" x14ac:dyDescent="0.3">
      <c r="A29" s="2" t="s">
        <v>25</v>
      </c>
      <c r="B29" s="2" t="s">
        <v>14</v>
      </c>
      <c r="C29" s="2" t="s">
        <v>34</v>
      </c>
      <c r="D29" s="2" t="s">
        <v>12</v>
      </c>
      <c r="E29" s="2">
        <v>939.09</v>
      </c>
      <c r="F29" s="2">
        <v>2</v>
      </c>
      <c r="G29" s="2">
        <v>0.05</v>
      </c>
      <c r="H29" s="3">
        <v>45422</v>
      </c>
      <c r="I29" s="2">
        <v>356.85</v>
      </c>
    </row>
    <row r="30" spans="1:9" ht="15.75" customHeight="1" x14ac:dyDescent="0.3">
      <c r="A30" s="2" t="s">
        <v>52</v>
      </c>
      <c r="B30" s="2" t="s">
        <v>53</v>
      </c>
      <c r="C30" s="2" t="s">
        <v>18</v>
      </c>
      <c r="D30" s="2" t="s">
        <v>39</v>
      </c>
      <c r="E30" s="2">
        <v>983.34</v>
      </c>
      <c r="F30" s="2">
        <v>19</v>
      </c>
      <c r="G30" s="2">
        <v>0.1</v>
      </c>
      <c r="H30" s="3">
        <v>45426</v>
      </c>
      <c r="I30" s="2">
        <v>398.25</v>
      </c>
    </row>
    <row r="31" spans="1:9" ht="15.75" customHeight="1" x14ac:dyDescent="0.3">
      <c r="A31" s="2" t="s">
        <v>52</v>
      </c>
      <c r="B31" s="2" t="s">
        <v>23</v>
      </c>
      <c r="C31" s="2" t="s">
        <v>20</v>
      </c>
      <c r="D31" s="2" t="s">
        <v>21</v>
      </c>
      <c r="E31" s="2">
        <v>801.21</v>
      </c>
      <c r="F31" s="2">
        <v>3</v>
      </c>
      <c r="G31" s="2">
        <v>0.2</v>
      </c>
      <c r="H31" s="3">
        <v>45426</v>
      </c>
      <c r="I31" s="2">
        <v>160.24</v>
      </c>
    </row>
    <row r="32" spans="1:9" ht="15.75" customHeight="1" x14ac:dyDescent="0.3">
      <c r="A32" s="2" t="s">
        <v>54</v>
      </c>
      <c r="B32" s="2" t="s">
        <v>55</v>
      </c>
      <c r="C32" s="2" t="s">
        <v>24</v>
      </c>
      <c r="D32" s="2" t="s">
        <v>21</v>
      </c>
      <c r="E32" s="2">
        <v>1450.71</v>
      </c>
      <c r="F32" s="2">
        <v>5</v>
      </c>
      <c r="G32" s="2">
        <v>0.1</v>
      </c>
      <c r="H32" s="3">
        <v>45427</v>
      </c>
      <c r="I32" s="2">
        <v>326.41000000000003</v>
      </c>
    </row>
    <row r="33" spans="1:9" ht="15.75" customHeight="1" x14ac:dyDescent="0.3">
      <c r="A33" s="2" t="s">
        <v>49</v>
      </c>
      <c r="B33" s="2" t="s">
        <v>56</v>
      </c>
      <c r="C33" s="2" t="s">
        <v>34</v>
      </c>
      <c r="D33" s="2" t="s">
        <v>12</v>
      </c>
      <c r="E33" s="2">
        <v>1023.21</v>
      </c>
      <c r="F33" s="2">
        <v>18</v>
      </c>
      <c r="G33" s="2">
        <v>0.05</v>
      </c>
      <c r="H33" s="3">
        <v>45428</v>
      </c>
      <c r="I33" s="2">
        <v>388.82</v>
      </c>
    </row>
    <row r="34" spans="1:9" ht="15.75" customHeight="1" x14ac:dyDescent="0.3">
      <c r="A34" s="2" t="s">
        <v>28</v>
      </c>
      <c r="B34" s="2" t="s">
        <v>47</v>
      </c>
      <c r="C34" s="2" t="s">
        <v>11</v>
      </c>
      <c r="D34" s="2" t="s">
        <v>27</v>
      </c>
      <c r="E34" s="2">
        <v>853.72</v>
      </c>
      <c r="F34" s="2">
        <v>5</v>
      </c>
      <c r="G34" s="2">
        <v>0.15</v>
      </c>
      <c r="H34" s="3">
        <v>45428</v>
      </c>
      <c r="I34" s="2">
        <v>253.98</v>
      </c>
    </row>
    <row r="35" spans="1:9" ht="15.75" customHeight="1" x14ac:dyDescent="0.3">
      <c r="A35" s="2" t="s">
        <v>57</v>
      </c>
      <c r="B35" s="2" t="s">
        <v>43</v>
      </c>
      <c r="C35" s="2" t="s">
        <v>20</v>
      </c>
      <c r="D35" s="2" t="s">
        <v>21</v>
      </c>
      <c r="E35" s="2">
        <v>967.89</v>
      </c>
      <c r="F35" s="2">
        <v>10</v>
      </c>
      <c r="G35" s="2">
        <v>0.1</v>
      </c>
      <c r="H35" s="3">
        <v>45429</v>
      </c>
      <c r="I35" s="2">
        <v>217.78</v>
      </c>
    </row>
    <row r="36" spans="1:9" ht="15.75" customHeight="1" x14ac:dyDescent="0.3">
      <c r="A36" s="2" t="s">
        <v>58</v>
      </c>
      <c r="B36" s="2" t="s">
        <v>53</v>
      </c>
      <c r="C36" s="2" t="s">
        <v>24</v>
      </c>
      <c r="D36" s="2" t="s">
        <v>39</v>
      </c>
      <c r="E36" s="2">
        <v>1200.9000000000001</v>
      </c>
      <c r="F36" s="2">
        <v>14</v>
      </c>
      <c r="G36" s="2">
        <v>0.05</v>
      </c>
      <c r="H36" s="3">
        <v>45429</v>
      </c>
      <c r="I36" s="2">
        <v>513.38</v>
      </c>
    </row>
    <row r="37" spans="1:9" ht="15.75" customHeight="1" x14ac:dyDescent="0.3">
      <c r="A37" s="2" t="s">
        <v>13</v>
      </c>
      <c r="B37" s="2" t="s">
        <v>26</v>
      </c>
      <c r="C37" s="2" t="s">
        <v>11</v>
      </c>
      <c r="D37" s="2" t="s">
        <v>12</v>
      </c>
      <c r="E37" s="2">
        <v>472.38</v>
      </c>
      <c r="F37" s="2">
        <v>12</v>
      </c>
      <c r="G37" s="2">
        <v>0.2</v>
      </c>
      <c r="H37" s="3">
        <v>45429</v>
      </c>
      <c r="I37" s="2">
        <v>151.16</v>
      </c>
    </row>
    <row r="38" spans="1:9" ht="15.75" customHeight="1" x14ac:dyDescent="0.3">
      <c r="A38" s="2" t="s">
        <v>9</v>
      </c>
      <c r="B38" s="2" t="s">
        <v>55</v>
      </c>
      <c r="C38" s="2" t="s">
        <v>18</v>
      </c>
      <c r="D38" s="2" t="s">
        <v>39</v>
      </c>
      <c r="E38" s="2">
        <v>840.92</v>
      </c>
      <c r="F38" s="2">
        <v>9</v>
      </c>
      <c r="G38" s="2">
        <v>0.05</v>
      </c>
      <c r="H38" s="3">
        <v>45429</v>
      </c>
      <c r="I38" s="2">
        <v>359.49</v>
      </c>
    </row>
    <row r="39" spans="1:9" ht="15.75" customHeight="1" x14ac:dyDescent="0.3">
      <c r="A39" s="2" t="s">
        <v>52</v>
      </c>
      <c r="B39" s="2" t="s">
        <v>48</v>
      </c>
      <c r="C39" s="2" t="s">
        <v>34</v>
      </c>
      <c r="D39" s="2" t="s">
        <v>27</v>
      </c>
      <c r="E39" s="2">
        <v>1410.06</v>
      </c>
      <c r="F39" s="2">
        <v>11</v>
      </c>
      <c r="G39" s="2">
        <v>0.05</v>
      </c>
      <c r="H39" s="3">
        <v>45434</v>
      </c>
      <c r="I39" s="2">
        <v>468.84</v>
      </c>
    </row>
    <row r="40" spans="1:9" ht="15.75" customHeight="1" x14ac:dyDescent="0.3">
      <c r="A40" s="2" t="s">
        <v>44</v>
      </c>
      <c r="B40" s="2" t="s">
        <v>59</v>
      </c>
      <c r="C40" s="2" t="s">
        <v>34</v>
      </c>
      <c r="D40" s="2" t="s">
        <v>27</v>
      </c>
      <c r="E40" s="2">
        <v>773.09</v>
      </c>
      <c r="F40" s="2">
        <v>13</v>
      </c>
      <c r="G40" s="2">
        <v>0.15</v>
      </c>
      <c r="H40" s="3">
        <v>45434</v>
      </c>
      <c r="I40" s="2">
        <v>229.99</v>
      </c>
    </row>
    <row r="41" spans="1:9" ht="15.75" customHeight="1" x14ac:dyDescent="0.3">
      <c r="A41" s="2" t="s">
        <v>60</v>
      </c>
      <c r="B41" s="2" t="s">
        <v>61</v>
      </c>
      <c r="C41" s="2" t="s">
        <v>18</v>
      </c>
      <c r="D41" s="2" t="s">
        <v>12</v>
      </c>
      <c r="E41" s="2">
        <v>580.42999999999995</v>
      </c>
      <c r="F41" s="2">
        <v>19</v>
      </c>
      <c r="G41" s="2">
        <v>0.15</v>
      </c>
      <c r="H41" s="3">
        <v>45435</v>
      </c>
      <c r="I41" s="2">
        <v>197.35</v>
      </c>
    </row>
    <row r="42" spans="1:9" ht="15.75" customHeight="1" x14ac:dyDescent="0.3">
      <c r="A42" s="2" t="s">
        <v>19</v>
      </c>
      <c r="B42" s="2" t="s">
        <v>42</v>
      </c>
      <c r="C42" s="2" t="s">
        <v>20</v>
      </c>
      <c r="D42" s="2" t="s">
        <v>12</v>
      </c>
      <c r="E42" s="2">
        <v>1151.21</v>
      </c>
      <c r="F42" s="2">
        <v>15</v>
      </c>
      <c r="G42" s="2">
        <v>0.1</v>
      </c>
      <c r="H42" s="3">
        <v>45445</v>
      </c>
      <c r="I42" s="2">
        <v>414.44</v>
      </c>
    </row>
    <row r="43" spans="1:9" ht="15.75" customHeight="1" x14ac:dyDescent="0.3">
      <c r="A43" s="2" t="s">
        <v>52</v>
      </c>
      <c r="B43" s="2" t="s">
        <v>23</v>
      </c>
      <c r="C43" s="2" t="s">
        <v>34</v>
      </c>
      <c r="D43" s="2" t="s">
        <v>39</v>
      </c>
      <c r="E43" s="2">
        <v>1025.98</v>
      </c>
      <c r="F43" s="2">
        <v>5</v>
      </c>
      <c r="G43" s="2">
        <v>0.2</v>
      </c>
      <c r="H43" s="3">
        <v>45447</v>
      </c>
      <c r="I43" s="2">
        <v>369.35</v>
      </c>
    </row>
    <row r="44" spans="1:9" ht="15.75" customHeight="1" x14ac:dyDescent="0.3">
      <c r="A44" s="2" t="s">
        <v>40</v>
      </c>
      <c r="B44" s="2" t="s">
        <v>56</v>
      </c>
      <c r="C44" s="2" t="s">
        <v>18</v>
      </c>
      <c r="D44" s="2" t="s">
        <v>39</v>
      </c>
      <c r="E44" s="2">
        <v>556.41999999999996</v>
      </c>
      <c r="F44" s="2">
        <v>11</v>
      </c>
      <c r="G44" s="2">
        <v>0.15</v>
      </c>
      <c r="H44" s="3">
        <v>45447</v>
      </c>
      <c r="I44" s="2">
        <v>212.83</v>
      </c>
    </row>
    <row r="45" spans="1:9" ht="15.75" customHeight="1" x14ac:dyDescent="0.3">
      <c r="A45" s="2" t="s">
        <v>57</v>
      </c>
      <c r="B45" s="2" t="s">
        <v>23</v>
      </c>
      <c r="C45" s="2" t="s">
        <v>34</v>
      </c>
      <c r="D45" s="2" t="s">
        <v>12</v>
      </c>
      <c r="E45" s="2">
        <v>840.85</v>
      </c>
      <c r="F45" s="2">
        <v>19</v>
      </c>
      <c r="G45" s="2">
        <v>0.1</v>
      </c>
      <c r="H45" s="3">
        <v>45448</v>
      </c>
      <c r="I45" s="2">
        <v>302.70999999999998</v>
      </c>
    </row>
    <row r="46" spans="1:9" ht="15.75" customHeight="1" x14ac:dyDescent="0.3">
      <c r="A46" s="2" t="s">
        <v>30</v>
      </c>
      <c r="B46" s="2" t="s">
        <v>61</v>
      </c>
      <c r="C46" s="2" t="s">
        <v>24</v>
      </c>
      <c r="D46" s="2" t="s">
        <v>27</v>
      </c>
      <c r="E46" s="2">
        <v>1227.25</v>
      </c>
      <c r="F46" s="2">
        <v>12</v>
      </c>
      <c r="G46" s="2">
        <v>0.15</v>
      </c>
      <c r="H46" s="3">
        <v>45448</v>
      </c>
      <c r="I46" s="2">
        <v>365.11</v>
      </c>
    </row>
    <row r="47" spans="1:9" ht="15.75" customHeight="1" x14ac:dyDescent="0.3">
      <c r="A47" s="2" t="s">
        <v>16</v>
      </c>
      <c r="B47" s="2" t="s">
        <v>62</v>
      </c>
      <c r="C47" s="2" t="s">
        <v>34</v>
      </c>
      <c r="D47" s="2" t="s">
        <v>21</v>
      </c>
      <c r="E47" s="2">
        <v>856.7</v>
      </c>
      <c r="F47" s="2">
        <v>2</v>
      </c>
      <c r="G47" s="2">
        <v>0</v>
      </c>
      <c r="H47" s="3">
        <v>45449</v>
      </c>
      <c r="I47" s="2">
        <v>214.18</v>
      </c>
    </row>
    <row r="48" spans="1:9" ht="15.75" customHeight="1" x14ac:dyDescent="0.3">
      <c r="A48" s="2" t="s">
        <v>54</v>
      </c>
      <c r="B48" s="2" t="s">
        <v>56</v>
      </c>
      <c r="C48" s="2" t="s">
        <v>34</v>
      </c>
      <c r="D48" s="2" t="s">
        <v>39</v>
      </c>
      <c r="E48" s="2">
        <v>1225.42</v>
      </c>
      <c r="F48" s="2">
        <v>8</v>
      </c>
      <c r="G48" s="2">
        <v>0.15</v>
      </c>
      <c r="H48" s="3">
        <v>45449</v>
      </c>
      <c r="I48" s="2">
        <v>468.72</v>
      </c>
    </row>
    <row r="49" spans="1:9" ht="15.75" customHeight="1" x14ac:dyDescent="0.3">
      <c r="A49" s="2" t="s">
        <v>63</v>
      </c>
      <c r="B49" s="2" t="s">
        <v>31</v>
      </c>
      <c r="C49" s="2" t="s">
        <v>24</v>
      </c>
      <c r="D49" s="2" t="s">
        <v>39</v>
      </c>
      <c r="E49" s="2">
        <v>1001.57</v>
      </c>
      <c r="F49" s="2">
        <v>12</v>
      </c>
      <c r="G49" s="2">
        <v>0</v>
      </c>
      <c r="H49" s="3">
        <v>45450</v>
      </c>
      <c r="I49" s="2">
        <v>450.71</v>
      </c>
    </row>
    <row r="50" spans="1:9" ht="15.75" customHeight="1" x14ac:dyDescent="0.3">
      <c r="A50" s="2" t="s">
        <v>57</v>
      </c>
      <c r="B50" s="2" t="s">
        <v>26</v>
      </c>
      <c r="C50" s="2" t="s">
        <v>18</v>
      </c>
      <c r="D50" s="2" t="s">
        <v>27</v>
      </c>
      <c r="E50" s="2">
        <v>1186.8499999999999</v>
      </c>
      <c r="F50" s="2">
        <v>19</v>
      </c>
      <c r="G50" s="2">
        <v>0.2</v>
      </c>
      <c r="H50" s="3">
        <v>45451</v>
      </c>
      <c r="I50" s="2">
        <v>332.32</v>
      </c>
    </row>
    <row r="51" spans="1:9" ht="15.75" customHeight="1" x14ac:dyDescent="0.3">
      <c r="A51" s="2" t="s">
        <v>44</v>
      </c>
      <c r="B51" s="2" t="s">
        <v>51</v>
      </c>
      <c r="C51" s="2" t="s">
        <v>20</v>
      </c>
      <c r="D51" s="2" t="s">
        <v>21</v>
      </c>
      <c r="E51" s="2">
        <v>775.45</v>
      </c>
      <c r="F51" s="2">
        <v>6</v>
      </c>
      <c r="G51" s="2">
        <v>0.1</v>
      </c>
      <c r="H51" s="3">
        <v>45457</v>
      </c>
      <c r="I51" s="2">
        <v>174.48</v>
      </c>
    </row>
    <row r="52" spans="1:9" ht="15.75" customHeight="1" x14ac:dyDescent="0.3">
      <c r="A52" s="2" t="s">
        <v>25</v>
      </c>
      <c r="B52" s="2" t="s">
        <v>33</v>
      </c>
      <c r="C52" s="2" t="s">
        <v>20</v>
      </c>
      <c r="D52" s="2" t="s">
        <v>21</v>
      </c>
      <c r="E52" s="2">
        <v>1021.47</v>
      </c>
      <c r="F52" s="2">
        <v>6</v>
      </c>
      <c r="G52" s="2">
        <v>0.05</v>
      </c>
      <c r="H52" s="3">
        <v>45461</v>
      </c>
      <c r="I52" s="2">
        <v>242.6</v>
      </c>
    </row>
    <row r="53" spans="1:9" ht="15.75" customHeight="1" x14ac:dyDescent="0.3">
      <c r="A53" s="2" t="s">
        <v>58</v>
      </c>
      <c r="B53" s="2" t="s">
        <v>23</v>
      </c>
      <c r="C53" s="2" t="s">
        <v>20</v>
      </c>
      <c r="D53" s="2" t="s">
        <v>15</v>
      </c>
      <c r="E53" s="2">
        <v>1226.6199999999999</v>
      </c>
      <c r="F53" s="2">
        <v>7</v>
      </c>
      <c r="G53" s="2">
        <v>0.1</v>
      </c>
      <c r="H53" s="3">
        <v>45463</v>
      </c>
      <c r="I53" s="2">
        <v>551.98</v>
      </c>
    </row>
    <row r="54" spans="1:9" ht="15.75" customHeight="1" x14ac:dyDescent="0.3">
      <c r="A54" s="2" t="s">
        <v>22</v>
      </c>
      <c r="B54" s="2" t="s">
        <v>64</v>
      </c>
      <c r="C54" s="2" t="s">
        <v>20</v>
      </c>
      <c r="D54" s="2" t="s">
        <v>27</v>
      </c>
      <c r="E54" s="2">
        <v>1086.93</v>
      </c>
      <c r="F54" s="2">
        <v>2</v>
      </c>
      <c r="G54" s="2">
        <v>0</v>
      </c>
      <c r="H54" s="3">
        <v>45464</v>
      </c>
      <c r="I54" s="2">
        <v>380.43</v>
      </c>
    </row>
    <row r="55" spans="1:9" ht="15.75" customHeight="1" x14ac:dyDescent="0.3">
      <c r="A55" s="2" t="s">
        <v>65</v>
      </c>
      <c r="B55" s="2" t="s">
        <v>48</v>
      </c>
      <c r="C55" s="2" t="s">
        <v>11</v>
      </c>
      <c r="D55" s="2" t="s">
        <v>12</v>
      </c>
      <c r="E55" s="2">
        <v>942.9</v>
      </c>
      <c r="F55" s="2">
        <v>18</v>
      </c>
      <c r="G55" s="2">
        <v>0.1</v>
      </c>
      <c r="H55" s="3">
        <v>45466</v>
      </c>
      <c r="I55" s="2">
        <v>339.44</v>
      </c>
    </row>
    <row r="56" spans="1:9" ht="15.75" customHeight="1" x14ac:dyDescent="0.3">
      <c r="A56" s="2" t="s">
        <v>32</v>
      </c>
      <c r="B56" s="2" t="s">
        <v>38</v>
      </c>
      <c r="C56" s="2" t="s">
        <v>24</v>
      </c>
      <c r="D56" s="2" t="s">
        <v>21</v>
      </c>
      <c r="E56" s="2">
        <v>818.8</v>
      </c>
      <c r="F56" s="2">
        <v>15</v>
      </c>
      <c r="G56" s="2">
        <v>0.15</v>
      </c>
      <c r="H56" s="3">
        <v>45468</v>
      </c>
      <c r="I56" s="2">
        <v>173.99</v>
      </c>
    </row>
    <row r="57" spans="1:9" ht="15.75" customHeight="1" x14ac:dyDescent="0.3">
      <c r="A57" s="2" t="s">
        <v>19</v>
      </c>
      <c r="B57" s="2" t="s">
        <v>14</v>
      </c>
      <c r="C57" s="2" t="s">
        <v>20</v>
      </c>
      <c r="D57" s="2" t="s">
        <v>27</v>
      </c>
      <c r="E57" s="2">
        <v>919.04</v>
      </c>
      <c r="F57" s="2">
        <v>10</v>
      </c>
      <c r="G57" s="2">
        <v>0.2</v>
      </c>
      <c r="H57" s="3">
        <v>45468</v>
      </c>
      <c r="I57" s="2">
        <v>257.33</v>
      </c>
    </row>
    <row r="58" spans="1:9" ht="15.75" customHeight="1" x14ac:dyDescent="0.3">
      <c r="A58" s="2" t="s">
        <v>22</v>
      </c>
      <c r="B58" s="2" t="s">
        <v>66</v>
      </c>
      <c r="C58" s="2" t="s">
        <v>34</v>
      </c>
      <c r="D58" s="2" t="s">
        <v>12</v>
      </c>
      <c r="E58" s="2">
        <v>973.26</v>
      </c>
      <c r="F58" s="2">
        <v>11</v>
      </c>
      <c r="G58" s="2">
        <v>0</v>
      </c>
      <c r="H58" s="3">
        <v>45470</v>
      </c>
      <c r="I58" s="2">
        <v>389.3</v>
      </c>
    </row>
    <row r="59" spans="1:9" ht="15.75" customHeight="1" x14ac:dyDescent="0.3">
      <c r="A59" s="2" t="s">
        <v>41</v>
      </c>
      <c r="B59" s="2" t="s">
        <v>64</v>
      </c>
      <c r="C59" s="2" t="s">
        <v>24</v>
      </c>
      <c r="D59" s="2" t="s">
        <v>21</v>
      </c>
      <c r="E59" s="2">
        <v>741.61</v>
      </c>
      <c r="F59" s="2">
        <v>1</v>
      </c>
      <c r="G59" s="2">
        <v>0.2</v>
      </c>
      <c r="H59" s="3">
        <v>45471</v>
      </c>
      <c r="I59" s="2">
        <v>148.32</v>
      </c>
    </row>
    <row r="60" spans="1:9" ht="15.75" customHeight="1" x14ac:dyDescent="0.3">
      <c r="A60" s="2" t="s">
        <v>67</v>
      </c>
      <c r="B60" s="2" t="s">
        <v>38</v>
      </c>
      <c r="C60" s="2" t="s">
        <v>24</v>
      </c>
      <c r="D60" s="2" t="s">
        <v>12</v>
      </c>
      <c r="E60" s="2">
        <v>1248.82</v>
      </c>
      <c r="F60" s="2">
        <v>2</v>
      </c>
      <c r="G60" s="2">
        <v>0.1</v>
      </c>
      <c r="H60" s="3">
        <v>45473</v>
      </c>
      <c r="I60" s="2">
        <v>449.58</v>
      </c>
    </row>
    <row r="61" spans="1:9" ht="15.75" customHeight="1" x14ac:dyDescent="0.3">
      <c r="A61" s="2" t="s">
        <v>13</v>
      </c>
      <c r="B61" s="2" t="s">
        <v>59</v>
      </c>
      <c r="C61" s="2" t="s">
        <v>11</v>
      </c>
      <c r="D61" s="2" t="s">
        <v>15</v>
      </c>
      <c r="E61" s="2">
        <v>1360.36</v>
      </c>
      <c r="F61" s="2">
        <v>17</v>
      </c>
      <c r="G61" s="2">
        <v>0</v>
      </c>
      <c r="H61" s="3">
        <v>45473</v>
      </c>
      <c r="I61" s="2">
        <v>680.18</v>
      </c>
    </row>
    <row r="62" spans="1:9" ht="15.75" customHeight="1" x14ac:dyDescent="0.3">
      <c r="A62" s="2" t="s">
        <v>57</v>
      </c>
      <c r="B62" s="2" t="s">
        <v>31</v>
      </c>
      <c r="C62" s="2" t="s">
        <v>18</v>
      </c>
      <c r="D62" s="2" t="s">
        <v>12</v>
      </c>
      <c r="E62" s="2">
        <v>1383.3</v>
      </c>
      <c r="F62" s="2">
        <v>8</v>
      </c>
      <c r="G62" s="2">
        <v>0.1</v>
      </c>
      <c r="H62" s="3">
        <v>45478</v>
      </c>
      <c r="I62" s="2">
        <v>497.99</v>
      </c>
    </row>
    <row r="63" spans="1:9" ht="15.75" customHeight="1" x14ac:dyDescent="0.3">
      <c r="A63" s="2" t="s">
        <v>35</v>
      </c>
      <c r="B63" s="2" t="s">
        <v>55</v>
      </c>
      <c r="C63" s="2" t="s">
        <v>34</v>
      </c>
      <c r="D63" s="2" t="s">
        <v>39</v>
      </c>
      <c r="E63" s="2">
        <v>488.99</v>
      </c>
      <c r="F63" s="2">
        <v>9</v>
      </c>
      <c r="G63" s="2">
        <v>0</v>
      </c>
      <c r="H63" s="3">
        <v>45479</v>
      </c>
      <c r="I63" s="2">
        <v>220.05</v>
      </c>
    </row>
    <row r="64" spans="1:9" ht="15.75" customHeight="1" x14ac:dyDescent="0.3">
      <c r="A64" s="2" t="s">
        <v>30</v>
      </c>
      <c r="B64" s="2" t="s">
        <v>31</v>
      </c>
      <c r="C64" s="2" t="s">
        <v>18</v>
      </c>
      <c r="D64" s="2" t="s">
        <v>27</v>
      </c>
      <c r="E64" s="2">
        <v>933.71</v>
      </c>
      <c r="F64" s="2">
        <v>17</v>
      </c>
      <c r="G64" s="2">
        <v>0.1</v>
      </c>
      <c r="H64" s="3">
        <v>45481</v>
      </c>
      <c r="I64" s="2">
        <v>294.12</v>
      </c>
    </row>
    <row r="65" spans="1:9" ht="15.75" customHeight="1" x14ac:dyDescent="0.3">
      <c r="A65" s="2" t="s">
        <v>67</v>
      </c>
      <c r="B65" s="2" t="s">
        <v>10</v>
      </c>
      <c r="C65" s="2" t="s">
        <v>11</v>
      </c>
      <c r="D65" s="2" t="s">
        <v>21</v>
      </c>
      <c r="E65" s="2">
        <v>1005.53</v>
      </c>
      <c r="F65" s="2">
        <v>17</v>
      </c>
      <c r="G65" s="2">
        <v>0.2</v>
      </c>
      <c r="H65" s="3">
        <v>45481</v>
      </c>
      <c r="I65" s="2">
        <v>201.11</v>
      </c>
    </row>
    <row r="66" spans="1:9" ht="15.75" customHeight="1" x14ac:dyDescent="0.3">
      <c r="A66" s="2" t="s">
        <v>41</v>
      </c>
      <c r="B66" s="2" t="s">
        <v>61</v>
      </c>
      <c r="C66" s="2" t="s">
        <v>20</v>
      </c>
      <c r="D66" s="2" t="s">
        <v>21</v>
      </c>
      <c r="E66" s="2">
        <v>1100.0999999999999</v>
      </c>
      <c r="F66" s="2">
        <v>5</v>
      </c>
      <c r="G66" s="2">
        <v>0.05</v>
      </c>
      <c r="H66" s="3">
        <v>45482</v>
      </c>
      <c r="I66" s="2">
        <v>261.27</v>
      </c>
    </row>
    <row r="67" spans="1:9" ht="15.75" customHeight="1" x14ac:dyDescent="0.3">
      <c r="A67" s="2" t="s">
        <v>67</v>
      </c>
      <c r="B67" s="2" t="s">
        <v>23</v>
      </c>
      <c r="C67" s="2" t="s">
        <v>24</v>
      </c>
      <c r="D67" s="2" t="s">
        <v>27</v>
      </c>
      <c r="E67" s="2">
        <v>1034.7</v>
      </c>
      <c r="F67" s="2">
        <v>15</v>
      </c>
      <c r="G67" s="2">
        <v>0.15</v>
      </c>
      <c r="H67" s="3">
        <v>45487</v>
      </c>
      <c r="I67" s="2">
        <v>307.82</v>
      </c>
    </row>
    <row r="68" spans="1:9" ht="15.75" customHeight="1" x14ac:dyDescent="0.3">
      <c r="A68" s="2" t="s">
        <v>65</v>
      </c>
      <c r="B68" s="2" t="s">
        <v>31</v>
      </c>
      <c r="C68" s="2" t="s">
        <v>20</v>
      </c>
      <c r="D68" s="2" t="s">
        <v>12</v>
      </c>
      <c r="E68" s="2">
        <v>876.44</v>
      </c>
      <c r="F68" s="2">
        <v>12</v>
      </c>
      <c r="G68" s="2">
        <v>0.05</v>
      </c>
      <c r="H68" s="3">
        <v>45488</v>
      </c>
      <c r="I68" s="2">
        <v>333.05</v>
      </c>
    </row>
    <row r="69" spans="1:9" ht="15.75" customHeight="1" x14ac:dyDescent="0.3">
      <c r="A69" s="2" t="s">
        <v>68</v>
      </c>
      <c r="B69" s="2" t="s">
        <v>55</v>
      </c>
      <c r="C69" s="2" t="s">
        <v>11</v>
      </c>
      <c r="D69" s="2" t="s">
        <v>27</v>
      </c>
      <c r="E69" s="2">
        <v>1371.34</v>
      </c>
      <c r="F69" s="2">
        <v>5</v>
      </c>
      <c r="G69" s="2">
        <v>0.05</v>
      </c>
      <c r="H69" s="3">
        <v>45488</v>
      </c>
      <c r="I69" s="2">
        <v>455.97</v>
      </c>
    </row>
    <row r="70" spans="1:9" ht="15.75" customHeight="1" x14ac:dyDescent="0.3">
      <c r="A70" s="2" t="s">
        <v>57</v>
      </c>
      <c r="B70" s="2" t="s">
        <v>47</v>
      </c>
      <c r="C70" s="2" t="s">
        <v>24</v>
      </c>
      <c r="D70" s="2" t="s">
        <v>21</v>
      </c>
      <c r="E70" s="2">
        <v>1020.26</v>
      </c>
      <c r="F70" s="2">
        <v>11</v>
      </c>
      <c r="G70" s="2">
        <v>0.05</v>
      </c>
      <c r="H70" s="3">
        <v>45494</v>
      </c>
      <c r="I70" s="2">
        <v>242.31</v>
      </c>
    </row>
    <row r="71" spans="1:9" ht="15.75" customHeight="1" x14ac:dyDescent="0.3">
      <c r="A71" s="2" t="s">
        <v>44</v>
      </c>
      <c r="B71" s="2" t="s">
        <v>10</v>
      </c>
      <c r="C71" s="2" t="s">
        <v>34</v>
      </c>
      <c r="D71" s="2" t="s">
        <v>39</v>
      </c>
      <c r="E71" s="2">
        <v>804.81</v>
      </c>
      <c r="F71" s="2">
        <v>1</v>
      </c>
      <c r="G71" s="2">
        <v>0.05</v>
      </c>
      <c r="H71" s="3">
        <v>45502</v>
      </c>
      <c r="I71" s="2">
        <v>344.06</v>
      </c>
    </row>
    <row r="72" spans="1:9" ht="15.75" customHeight="1" x14ac:dyDescent="0.3">
      <c r="A72" s="2" t="s">
        <v>22</v>
      </c>
      <c r="B72" s="2" t="s">
        <v>55</v>
      </c>
      <c r="C72" s="2" t="s">
        <v>34</v>
      </c>
      <c r="D72" s="2" t="s">
        <v>21</v>
      </c>
      <c r="E72" s="2">
        <v>608.66</v>
      </c>
      <c r="F72" s="2">
        <v>1</v>
      </c>
      <c r="G72" s="2">
        <v>0.05</v>
      </c>
      <c r="H72" s="3">
        <v>45503</v>
      </c>
      <c r="I72" s="2">
        <v>144.56</v>
      </c>
    </row>
    <row r="73" spans="1:9" ht="15.75" customHeight="1" x14ac:dyDescent="0.3">
      <c r="A73" s="2" t="s">
        <v>68</v>
      </c>
      <c r="B73" s="2" t="s">
        <v>69</v>
      </c>
      <c r="C73" s="2" t="s">
        <v>20</v>
      </c>
      <c r="D73" s="2" t="s">
        <v>39</v>
      </c>
      <c r="E73" s="2">
        <v>981.2</v>
      </c>
      <c r="F73" s="2">
        <v>19</v>
      </c>
      <c r="G73" s="2">
        <v>0</v>
      </c>
      <c r="H73" s="3">
        <v>45504</v>
      </c>
      <c r="I73" s="2">
        <v>441.54</v>
      </c>
    </row>
    <row r="74" spans="1:9" ht="15.75" customHeight="1" x14ac:dyDescent="0.3">
      <c r="A74" s="2" t="s">
        <v>70</v>
      </c>
      <c r="B74" s="2" t="s">
        <v>55</v>
      </c>
      <c r="C74" s="2" t="s">
        <v>18</v>
      </c>
      <c r="D74" s="2" t="s">
        <v>21</v>
      </c>
      <c r="E74" s="2">
        <v>539.77</v>
      </c>
      <c r="F74" s="2">
        <v>10</v>
      </c>
      <c r="G74" s="2">
        <v>0.15</v>
      </c>
      <c r="H74" s="3">
        <v>45509</v>
      </c>
      <c r="I74" s="2">
        <v>114.7</v>
      </c>
    </row>
    <row r="75" spans="1:9" ht="15.75" customHeight="1" x14ac:dyDescent="0.3">
      <c r="A75" s="2" t="s">
        <v>13</v>
      </c>
      <c r="B75" s="2" t="s">
        <v>71</v>
      </c>
      <c r="C75" s="2" t="s">
        <v>20</v>
      </c>
      <c r="D75" s="2" t="s">
        <v>12</v>
      </c>
      <c r="E75" s="2">
        <v>804.45</v>
      </c>
      <c r="F75" s="2">
        <v>5</v>
      </c>
      <c r="G75" s="2">
        <v>0.2</v>
      </c>
      <c r="H75" s="3">
        <v>45509</v>
      </c>
      <c r="I75" s="2">
        <v>257.42</v>
      </c>
    </row>
    <row r="76" spans="1:9" ht="15.75" customHeight="1" x14ac:dyDescent="0.3">
      <c r="A76" s="2" t="s">
        <v>70</v>
      </c>
      <c r="B76" s="2" t="s">
        <v>38</v>
      </c>
      <c r="C76" s="2" t="s">
        <v>11</v>
      </c>
      <c r="D76" s="2" t="s">
        <v>21</v>
      </c>
      <c r="E76" s="2">
        <v>1526.6</v>
      </c>
      <c r="F76" s="2">
        <v>13</v>
      </c>
      <c r="G76" s="2">
        <v>0.2</v>
      </c>
      <c r="H76" s="3">
        <v>45512</v>
      </c>
      <c r="I76" s="2">
        <v>305.32</v>
      </c>
    </row>
    <row r="77" spans="1:9" ht="15.75" customHeight="1" x14ac:dyDescent="0.3">
      <c r="A77" s="2" t="s">
        <v>13</v>
      </c>
      <c r="B77" s="2" t="s">
        <v>29</v>
      </c>
      <c r="C77" s="2" t="s">
        <v>11</v>
      </c>
      <c r="D77" s="2" t="s">
        <v>21</v>
      </c>
      <c r="E77" s="2">
        <v>1215.26</v>
      </c>
      <c r="F77" s="2">
        <v>5</v>
      </c>
      <c r="G77" s="2">
        <v>0.15</v>
      </c>
      <c r="H77" s="3">
        <v>45513</v>
      </c>
      <c r="I77" s="2">
        <v>258.24</v>
      </c>
    </row>
    <row r="78" spans="1:9" ht="15.75" customHeight="1" x14ac:dyDescent="0.3">
      <c r="A78" s="2" t="s">
        <v>19</v>
      </c>
      <c r="B78" s="2" t="s">
        <v>53</v>
      </c>
      <c r="C78" s="2" t="s">
        <v>34</v>
      </c>
      <c r="D78" s="2" t="s">
        <v>27</v>
      </c>
      <c r="E78" s="2">
        <v>1261.3399999999999</v>
      </c>
      <c r="F78" s="2">
        <v>3</v>
      </c>
      <c r="G78" s="2">
        <v>0</v>
      </c>
      <c r="H78" s="3">
        <v>45519</v>
      </c>
      <c r="I78" s="2">
        <v>441.47</v>
      </c>
    </row>
    <row r="79" spans="1:9" ht="15.75" customHeight="1" x14ac:dyDescent="0.3">
      <c r="A79" s="2" t="s">
        <v>72</v>
      </c>
      <c r="B79" s="2" t="s">
        <v>45</v>
      </c>
      <c r="C79" s="2" t="s">
        <v>24</v>
      </c>
      <c r="D79" s="2" t="s">
        <v>27</v>
      </c>
      <c r="E79" s="2">
        <v>518.07000000000005</v>
      </c>
      <c r="F79" s="2">
        <v>7</v>
      </c>
      <c r="G79" s="2">
        <v>0.05</v>
      </c>
      <c r="H79" s="3">
        <v>45522</v>
      </c>
      <c r="I79" s="2">
        <v>172.26</v>
      </c>
    </row>
    <row r="80" spans="1:9" ht="15.75" customHeight="1" x14ac:dyDescent="0.3">
      <c r="A80" s="2" t="s">
        <v>30</v>
      </c>
      <c r="B80" s="2" t="s">
        <v>29</v>
      </c>
      <c r="C80" s="2" t="s">
        <v>11</v>
      </c>
      <c r="D80" s="2" t="s">
        <v>39</v>
      </c>
      <c r="E80" s="2">
        <v>1111.3399999999999</v>
      </c>
      <c r="F80" s="2">
        <v>1</v>
      </c>
      <c r="G80" s="2">
        <v>0</v>
      </c>
      <c r="H80" s="3">
        <v>45523</v>
      </c>
      <c r="I80" s="2">
        <v>500.1</v>
      </c>
    </row>
    <row r="81" spans="1:9" ht="15.75" customHeight="1" x14ac:dyDescent="0.3">
      <c r="A81" s="2" t="s">
        <v>22</v>
      </c>
      <c r="B81" s="2" t="s">
        <v>31</v>
      </c>
      <c r="C81" s="2" t="s">
        <v>18</v>
      </c>
      <c r="D81" s="2" t="s">
        <v>15</v>
      </c>
      <c r="E81" s="2">
        <v>1291.47</v>
      </c>
      <c r="F81" s="2">
        <v>18</v>
      </c>
      <c r="G81" s="2">
        <v>0.1</v>
      </c>
      <c r="H81" s="3">
        <v>45526</v>
      </c>
      <c r="I81" s="2">
        <v>581.16</v>
      </c>
    </row>
    <row r="82" spans="1:9" ht="15.75" customHeight="1" x14ac:dyDescent="0.3">
      <c r="A82" s="2" t="s">
        <v>25</v>
      </c>
      <c r="B82" s="2" t="s">
        <v>55</v>
      </c>
      <c r="C82" s="2" t="s">
        <v>24</v>
      </c>
      <c r="D82" s="2" t="s">
        <v>12</v>
      </c>
      <c r="E82" s="2">
        <v>679.71</v>
      </c>
      <c r="F82" s="2">
        <v>19</v>
      </c>
      <c r="G82" s="2">
        <v>0</v>
      </c>
      <c r="H82" s="3">
        <v>45534</v>
      </c>
      <c r="I82" s="2">
        <v>271.88</v>
      </c>
    </row>
    <row r="83" spans="1:9" ht="15.75" customHeight="1" x14ac:dyDescent="0.3">
      <c r="A83" s="2" t="s">
        <v>68</v>
      </c>
      <c r="B83" s="2" t="s">
        <v>33</v>
      </c>
      <c r="C83" s="2" t="s">
        <v>18</v>
      </c>
      <c r="D83" s="2" t="s">
        <v>27</v>
      </c>
      <c r="E83" s="2">
        <v>1143.69</v>
      </c>
      <c r="F83" s="2">
        <v>17</v>
      </c>
      <c r="G83" s="2">
        <v>0</v>
      </c>
      <c r="H83" s="3">
        <v>45534</v>
      </c>
      <c r="I83" s="2">
        <v>400.29</v>
      </c>
    </row>
    <row r="84" spans="1:9" ht="15.75" customHeight="1" x14ac:dyDescent="0.3">
      <c r="A84" s="2" t="s">
        <v>52</v>
      </c>
      <c r="B84" s="2" t="s">
        <v>50</v>
      </c>
      <c r="C84" s="2" t="s">
        <v>34</v>
      </c>
      <c r="D84" s="2" t="s">
        <v>21</v>
      </c>
      <c r="E84" s="2">
        <v>790.08</v>
      </c>
      <c r="F84" s="2">
        <v>7</v>
      </c>
      <c r="G84" s="2">
        <v>0.1</v>
      </c>
      <c r="H84" s="3">
        <v>45536</v>
      </c>
      <c r="I84" s="2">
        <v>177.77</v>
      </c>
    </row>
    <row r="85" spans="1:9" ht="15.75" customHeight="1" x14ac:dyDescent="0.3">
      <c r="A85" s="2" t="s">
        <v>19</v>
      </c>
      <c r="B85" s="2" t="s">
        <v>48</v>
      </c>
      <c r="C85" s="2" t="s">
        <v>34</v>
      </c>
      <c r="D85" s="2" t="s">
        <v>12</v>
      </c>
      <c r="E85" s="2">
        <v>1070.68</v>
      </c>
      <c r="F85" s="2">
        <v>7</v>
      </c>
      <c r="G85" s="2">
        <v>0.05</v>
      </c>
      <c r="H85" s="3">
        <v>45536</v>
      </c>
      <c r="I85" s="2">
        <v>406.86</v>
      </c>
    </row>
    <row r="86" spans="1:9" ht="15.75" customHeight="1" x14ac:dyDescent="0.3">
      <c r="A86" s="2" t="s">
        <v>58</v>
      </c>
      <c r="B86" s="2" t="s">
        <v>36</v>
      </c>
      <c r="C86" s="2" t="s">
        <v>11</v>
      </c>
      <c r="D86" s="2" t="s">
        <v>15</v>
      </c>
      <c r="E86" s="2">
        <v>1168.8900000000001</v>
      </c>
      <c r="F86" s="2">
        <v>4</v>
      </c>
      <c r="G86" s="2">
        <v>0.1</v>
      </c>
      <c r="H86" s="3">
        <v>45544</v>
      </c>
      <c r="I86" s="2">
        <v>526</v>
      </c>
    </row>
    <row r="87" spans="1:9" ht="15.75" customHeight="1" x14ac:dyDescent="0.3">
      <c r="A87" s="2" t="s">
        <v>67</v>
      </c>
      <c r="B87" s="2" t="s">
        <v>10</v>
      </c>
      <c r="C87" s="2" t="s">
        <v>20</v>
      </c>
      <c r="D87" s="2" t="s">
        <v>21</v>
      </c>
      <c r="E87" s="2">
        <v>1335.87</v>
      </c>
      <c r="F87" s="2">
        <v>17</v>
      </c>
      <c r="G87" s="2">
        <v>0</v>
      </c>
      <c r="H87" s="3">
        <v>45544</v>
      </c>
      <c r="I87" s="2">
        <v>333.97</v>
      </c>
    </row>
    <row r="88" spans="1:9" ht="15.75" customHeight="1" x14ac:dyDescent="0.3">
      <c r="A88" s="2" t="s">
        <v>40</v>
      </c>
      <c r="B88" s="2" t="s">
        <v>55</v>
      </c>
      <c r="C88" s="2" t="s">
        <v>18</v>
      </c>
      <c r="D88" s="2" t="s">
        <v>27</v>
      </c>
      <c r="E88" s="2">
        <v>873.7</v>
      </c>
      <c r="F88" s="2">
        <v>9</v>
      </c>
      <c r="G88" s="2">
        <v>0</v>
      </c>
      <c r="H88" s="3">
        <v>45546</v>
      </c>
      <c r="I88" s="2">
        <v>305.8</v>
      </c>
    </row>
    <row r="89" spans="1:9" ht="15.75" customHeight="1" x14ac:dyDescent="0.3">
      <c r="A89" s="2" t="s">
        <v>72</v>
      </c>
      <c r="B89" s="2" t="s">
        <v>64</v>
      </c>
      <c r="C89" s="2" t="s">
        <v>11</v>
      </c>
      <c r="D89" s="2" t="s">
        <v>39</v>
      </c>
      <c r="E89" s="2">
        <v>1443.98</v>
      </c>
      <c r="F89" s="2">
        <v>19</v>
      </c>
      <c r="G89" s="2">
        <v>0</v>
      </c>
      <c r="H89" s="3">
        <v>45547</v>
      </c>
      <c r="I89" s="2">
        <v>649.79</v>
      </c>
    </row>
    <row r="90" spans="1:9" ht="15.75" customHeight="1" x14ac:dyDescent="0.3">
      <c r="A90" s="2" t="s">
        <v>40</v>
      </c>
      <c r="B90" s="2" t="s">
        <v>23</v>
      </c>
      <c r="C90" s="2" t="s">
        <v>18</v>
      </c>
      <c r="D90" s="2" t="s">
        <v>39</v>
      </c>
      <c r="E90" s="2">
        <v>1154.33</v>
      </c>
      <c r="F90" s="2">
        <v>11</v>
      </c>
      <c r="G90" s="2">
        <v>0.15</v>
      </c>
      <c r="H90" s="3">
        <v>45549</v>
      </c>
      <c r="I90" s="2">
        <v>441.53</v>
      </c>
    </row>
    <row r="91" spans="1:9" ht="15.75" customHeight="1" x14ac:dyDescent="0.3">
      <c r="A91" s="2" t="s">
        <v>49</v>
      </c>
      <c r="B91" s="2" t="s">
        <v>50</v>
      </c>
      <c r="C91" s="2" t="s">
        <v>20</v>
      </c>
      <c r="D91" s="2" t="s">
        <v>12</v>
      </c>
      <c r="E91" s="2">
        <v>1264.49</v>
      </c>
      <c r="F91" s="2">
        <v>16</v>
      </c>
      <c r="G91" s="2">
        <v>0.05</v>
      </c>
      <c r="H91" s="3">
        <v>45549</v>
      </c>
      <c r="I91" s="2">
        <v>480.51</v>
      </c>
    </row>
    <row r="92" spans="1:9" ht="15.75" customHeight="1" x14ac:dyDescent="0.3">
      <c r="A92" s="2" t="s">
        <v>25</v>
      </c>
      <c r="B92" s="2" t="s">
        <v>66</v>
      </c>
      <c r="C92" s="2" t="s">
        <v>11</v>
      </c>
      <c r="D92" s="2" t="s">
        <v>27</v>
      </c>
      <c r="E92" s="2">
        <v>1101.55</v>
      </c>
      <c r="F92" s="2">
        <v>4</v>
      </c>
      <c r="G92" s="2">
        <v>0.1</v>
      </c>
      <c r="H92" s="3">
        <v>45551</v>
      </c>
      <c r="I92" s="2">
        <v>346.99</v>
      </c>
    </row>
    <row r="93" spans="1:9" ht="15.75" customHeight="1" x14ac:dyDescent="0.3">
      <c r="A93" s="2" t="s">
        <v>73</v>
      </c>
      <c r="B93" s="2" t="s">
        <v>14</v>
      </c>
      <c r="C93" s="2" t="s">
        <v>20</v>
      </c>
      <c r="D93" s="2" t="s">
        <v>27</v>
      </c>
      <c r="E93" s="2">
        <v>727.73</v>
      </c>
      <c r="F93" s="2">
        <v>1</v>
      </c>
      <c r="G93" s="2">
        <v>0.1</v>
      </c>
      <c r="H93" s="3">
        <v>45552</v>
      </c>
      <c r="I93" s="2">
        <v>229.23</v>
      </c>
    </row>
    <row r="94" spans="1:9" ht="15.75" customHeight="1" x14ac:dyDescent="0.3">
      <c r="A94" s="2" t="s">
        <v>74</v>
      </c>
      <c r="B94" s="2" t="s">
        <v>38</v>
      </c>
      <c r="C94" s="2" t="s">
        <v>18</v>
      </c>
      <c r="D94" s="2" t="s">
        <v>39</v>
      </c>
      <c r="E94" s="2">
        <v>875.41</v>
      </c>
      <c r="F94" s="2">
        <v>13</v>
      </c>
      <c r="G94" s="2">
        <v>0.15</v>
      </c>
      <c r="H94" s="3">
        <v>45552</v>
      </c>
      <c r="I94" s="2">
        <v>334.84</v>
      </c>
    </row>
    <row r="95" spans="1:9" ht="15.75" customHeight="1" x14ac:dyDescent="0.3">
      <c r="A95" s="2" t="s">
        <v>67</v>
      </c>
      <c r="B95" s="2" t="s">
        <v>23</v>
      </c>
      <c r="C95" s="2" t="s">
        <v>11</v>
      </c>
      <c r="D95" s="2" t="s">
        <v>21</v>
      </c>
      <c r="E95" s="2">
        <v>1158.94</v>
      </c>
      <c r="F95" s="2">
        <v>19</v>
      </c>
      <c r="G95" s="2">
        <v>0.2</v>
      </c>
      <c r="H95" s="3">
        <v>45553</v>
      </c>
      <c r="I95" s="2">
        <v>231.79</v>
      </c>
    </row>
    <row r="96" spans="1:9" ht="15.75" customHeight="1" x14ac:dyDescent="0.3">
      <c r="A96" s="2" t="s">
        <v>75</v>
      </c>
      <c r="B96" s="2" t="s">
        <v>47</v>
      </c>
      <c r="C96" s="2" t="s">
        <v>20</v>
      </c>
      <c r="D96" s="2" t="s">
        <v>12</v>
      </c>
      <c r="E96" s="2">
        <v>966.3</v>
      </c>
      <c r="F96" s="2">
        <v>2</v>
      </c>
      <c r="G96" s="2">
        <v>0.15</v>
      </c>
      <c r="H96" s="3">
        <v>45557</v>
      </c>
      <c r="I96" s="2">
        <v>328.54</v>
      </c>
    </row>
    <row r="97" spans="1:9" ht="15.75" customHeight="1" x14ac:dyDescent="0.3">
      <c r="A97" s="2" t="s">
        <v>68</v>
      </c>
      <c r="B97" s="2" t="s">
        <v>17</v>
      </c>
      <c r="C97" s="2" t="s">
        <v>20</v>
      </c>
      <c r="D97" s="2" t="s">
        <v>12</v>
      </c>
      <c r="E97" s="2">
        <v>917.48</v>
      </c>
      <c r="F97" s="2">
        <v>6</v>
      </c>
      <c r="G97" s="2">
        <v>0</v>
      </c>
      <c r="H97" s="3">
        <v>45558</v>
      </c>
      <c r="I97" s="2">
        <v>366.99</v>
      </c>
    </row>
    <row r="98" spans="1:9" ht="15.75" customHeight="1" x14ac:dyDescent="0.3">
      <c r="A98" s="2" t="s">
        <v>41</v>
      </c>
      <c r="B98" s="2" t="s">
        <v>61</v>
      </c>
      <c r="C98" s="2" t="s">
        <v>11</v>
      </c>
      <c r="D98" s="2" t="s">
        <v>27</v>
      </c>
      <c r="E98" s="2">
        <v>1172.97</v>
      </c>
      <c r="F98" s="2">
        <v>7</v>
      </c>
      <c r="G98" s="2">
        <v>0.15</v>
      </c>
      <c r="H98" s="3">
        <v>45559</v>
      </c>
      <c r="I98" s="2">
        <v>348.96</v>
      </c>
    </row>
    <row r="99" spans="1:9" ht="15.75" customHeight="1" x14ac:dyDescent="0.3">
      <c r="A99" s="2" t="s">
        <v>57</v>
      </c>
      <c r="B99" s="2" t="s">
        <v>23</v>
      </c>
      <c r="C99" s="2" t="s">
        <v>24</v>
      </c>
      <c r="D99" s="2" t="s">
        <v>15</v>
      </c>
      <c r="E99" s="2">
        <v>1205.82</v>
      </c>
      <c r="F99" s="2">
        <v>11</v>
      </c>
      <c r="G99" s="2">
        <v>0.1</v>
      </c>
      <c r="H99" s="3">
        <v>45559</v>
      </c>
      <c r="I99" s="2">
        <v>542.62</v>
      </c>
    </row>
    <row r="100" spans="1:9" ht="15.75" customHeight="1" x14ac:dyDescent="0.3">
      <c r="A100" s="2" t="s">
        <v>16</v>
      </c>
      <c r="B100" s="2" t="s">
        <v>64</v>
      </c>
      <c r="C100" s="2" t="s">
        <v>11</v>
      </c>
      <c r="D100" s="2" t="s">
        <v>39</v>
      </c>
      <c r="E100" s="2">
        <v>826.93</v>
      </c>
      <c r="F100" s="2">
        <v>10</v>
      </c>
      <c r="G100" s="2">
        <v>0.2</v>
      </c>
      <c r="H100" s="3">
        <v>45564</v>
      </c>
      <c r="I100" s="2">
        <v>297.69</v>
      </c>
    </row>
    <row r="101" spans="1:9" ht="15.75" customHeight="1" x14ac:dyDescent="0.3">
      <c r="A101" s="2" t="s">
        <v>67</v>
      </c>
      <c r="B101" s="2" t="s">
        <v>23</v>
      </c>
      <c r="C101" s="2" t="s">
        <v>34</v>
      </c>
      <c r="D101" s="2" t="s">
        <v>15</v>
      </c>
      <c r="E101" s="2">
        <v>902.19</v>
      </c>
      <c r="F101" s="2">
        <v>12</v>
      </c>
      <c r="G101" s="2">
        <v>0</v>
      </c>
      <c r="H101" s="3">
        <v>45564</v>
      </c>
      <c r="I101" s="2">
        <v>451.1</v>
      </c>
    </row>
    <row r="102" spans="1:9" ht="15.75" customHeight="1" x14ac:dyDescent="0.3">
      <c r="A102" s="2" t="s">
        <v>74</v>
      </c>
      <c r="B102" s="2" t="s">
        <v>38</v>
      </c>
      <c r="C102" s="2" t="s">
        <v>24</v>
      </c>
      <c r="D102" s="2" t="s">
        <v>12</v>
      </c>
      <c r="E102" s="2">
        <v>585.97</v>
      </c>
      <c r="F102" s="2">
        <v>17</v>
      </c>
      <c r="G102" s="2">
        <v>0.1</v>
      </c>
      <c r="H102" s="3">
        <v>45565</v>
      </c>
      <c r="I102" s="2">
        <v>210.95</v>
      </c>
    </row>
    <row r="103" spans="1:9" ht="15.75" customHeight="1" x14ac:dyDescent="0.3">
      <c r="A103" s="2" t="s">
        <v>60</v>
      </c>
      <c r="B103" s="2" t="s">
        <v>26</v>
      </c>
      <c r="C103" s="2" t="s">
        <v>24</v>
      </c>
      <c r="D103" s="2" t="s">
        <v>15</v>
      </c>
      <c r="E103" s="2">
        <v>990.19</v>
      </c>
      <c r="F103" s="2">
        <v>8</v>
      </c>
      <c r="G103" s="2">
        <v>0.1</v>
      </c>
      <c r="H103" s="3">
        <v>45565</v>
      </c>
      <c r="I103" s="2">
        <v>445.59</v>
      </c>
    </row>
    <row r="104" spans="1:9" ht="15.75" customHeight="1" x14ac:dyDescent="0.3">
      <c r="A104" s="2" t="s">
        <v>44</v>
      </c>
      <c r="B104" s="2" t="s">
        <v>56</v>
      </c>
      <c r="C104" s="2" t="s">
        <v>34</v>
      </c>
      <c r="D104" s="2" t="s">
        <v>21</v>
      </c>
      <c r="E104" s="2">
        <v>1014.09</v>
      </c>
      <c r="F104" s="2">
        <v>13</v>
      </c>
      <c r="G104" s="2">
        <v>0.2</v>
      </c>
      <c r="H104" s="3">
        <v>45567</v>
      </c>
      <c r="I104" s="2">
        <v>202.82</v>
      </c>
    </row>
    <row r="105" spans="1:9" ht="15.75" customHeight="1" x14ac:dyDescent="0.3">
      <c r="A105" s="2" t="s">
        <v>13</v>
      </c>
      <c r="B105" s="2" t="s">
        <v>48</v>
      </c>
      <c r="C105" s="2" t="s">
        <v>24</v>
      </c>
      <c r="D105" s="2" t="s">
        <v>21</v>
      </c>
      <c r="E105" s="2">
        <v>925.29</v>
      </c>
      <c r="F105" s="2">
        <v>17</v>
      </c>
      <c r="G105" s="2">
        <v>0</v>
      </c>
      <c r="H105" s="3">
        <v>45570</v>
      </c>
      <c r="I105" s="2">
        <v>231.32</v>
      </c>
    </row>
    <row r="106" spans="1:9" ht="15.75" customHeight="1" x14ac:dyDescent="0.3">
      <c r="A106" s="2" t="s">
        <v>54</v>
      </c>
      <c r="B106" s="2" t="s">
        <v>47</v>
      </c>
      <c r="C106" s="2" t="s">
        <v>18</v>
      </c>
      <c r="D106" s="2" t="s">
        <v>27</v>
      </c>
      <c r="E106" s="2">
        <v>1286.54</v>
      </c>
      <c r="F106" s="2">
        <v>8</v>
      </c>
      <c r="G106" s="2">
        <v>0</v>
      </c>
      <c r="H106" s="3">
        <v>45575</v>
      </c>
      <c r="I106" s="2">
        <v>450.29</v>
      </c>
    </row>
    <row r="107" spans="1:9" ht="15.75" customHeight="1" x14ac:dyDescent="0.3">
      <c r="A107" s="2" t="s">
        <v>37</v>
      </c>
      <c r="B107" s="2" t="s">
        <v>64</v>
      </c>
      <c r="C107" s="2" t="s">
        <v>20</v>
      </c>
      <c r="D107" s="2" t="s">
        <v>12</v>
      </c>
      <c r="E107" s="2">
        <v>961.62</v>
      </c>
      <c r="F107" s="2">
        <v>8</v>
      </c>
      <c r="G107" s="2">
        <v>0.2</v>
      </c>
      <c r="H107" s="3">
        <v>45577</v>
      </c>
      <c r="I107" s="2">
        <v>307.72000000000003</v>
      </c>
    </row>
    <row r="108" spans="1:9" ht="15.75" customHeight="1" x14ac:dyDescent="0.3">
      <c r="A108" s="2" t="s">
        <v>44</v>
      </c>
      <c r="B108" s="2" t="s">
        <v>23</v>
      </c>
      <c r="C108" s="2" t="s">
        <v>18</v>
      </c>
      <c r="D108" s="2" t="s">
        <v>12</v>
      </c>
      <c r="E108" s="2">
        <v>1081.1400000000001</v>
      </c>
      <c r="F108" s="2">
        <v>19</v>
      </c>
      <c r="G108" s="2">
        <v>0.15</v>
      </c>
      <c r="H108" s="3">
        <v>45577</v>
      </c>
      <c r="I108" s="2">
        <v>367.59</v>
      </c>
    </row>
    <row r="109" spans="1:9" ht="15.75" customHeight="1" x14ac:dyDescent="0.3">
      <c r="A109" s="2" t="s">
        <v>58</v>
      </c>
      <c r="B109" s="2" t="s">
        <v>23</v>
      </c>
      <c r="C109" s="2" t="s">
        <v>11</v>
      </c>
      <c r="D109" s="2" t="s">
        <v>15</v>
      </c>
      <c r="E109" s="2">
        <v>1923.66</v>
      </c>
      <c r="F109" s="2">
        <v>9</v>
      </c>
      <c r="G109" s="2">
        <v>0.2</v>
      </c>
      <c r="H109" s="3">
        <v>45580</v>
      </c>
      <c r="I109" s="2">
        <v>769.46</v>
      </c>
    </row>
    <row r="110" spans="1:9" ht="15.75" customHeight="1" x14ac:dyDescent="0.3">
      <c r="A110" s="2" t="s">
        <v>54</v>
      </c>
      <c r="B110" s="2" t="s">
        <v>66</v>
      </c>
      <c r="C110" s="2" t="s">
        <v>34</v>
      </c>
      <c r="D110" s="2" t="s">
        <v>15</v>
      </c>
      <c r="E110" s="2">
        <v>728.71</v>
      </c>
      <c r="F110" s="2">
        <v>14</v>
      </c>
      <c r="G110" s="2">
        <v>0.1</v>
      </c>
      <c r="H110" s="3">
        <v>45581</v>
      </c>
      <c r="I110" s="2">
        <v>327.92</v>
      </c>
    </row>
    <row r="111" spans="1:9" ht="15.75" customHeight="1" x14ac:dyDescent="0.3">
      <c r="A111" s="2" t="s">
        <v>9</v>
      </c>
      <c r="B111" s="2" t="s">
        <v>33</v>
      </c>
      <c r="C111" s="2" t="s">
        <v>34</v>
      </c>
      <c r="D111" s="2" t="s">
        <v>15</v>
      </c>
      <c r="E111" s="2">
        <v>1301.8900000000001</v>
      </c>
      <c r="F111" s="2">
        <v>7</v>
      </c>
      <c r="G111" s="2">
        <v>0.15</v>
      </c>
      <c r="H111" s="3">
        <v>45581</v>
      </c>
      <c r="I111" s="2">
        <v>553.29999999999995</v>
      </c>
    </row>
    <row r="112" spans="1:9" ht="15.75" customHeight="1" x14ac:dyDescent="0.3">
      <c r="A112" s="2" t="s">
        <v>70</v>
      </c>
      <c r="B112" s="2" t="s">
        <v>66</v>
      </c>
      <c r="C112" s="2" t="s">
        <v>18</v>
      </c>
      <c r="D112" s="2" t="s">
        <v>12</v>
      </c>
      <c r="E112" s="2">
        <v>980.18</v>
      </c>
      <c r="F112" s="2">
        <v>16</v>
      </c>
      <c r="G112" s="2">
        <v>0.1</v>
      </c>
      <c r="H112" s="3">
        <v>45582</v>
      </c>
      <c r="I112" s="2">
        <v>352.86</v>
      </c>
    </row>
    <row r="113" spans="1:9" ht="15.75" customHeight="1" x14ac:dyDescent="0.3">
      <c r="A113" s="2" t="s">
        <v>74</v>
      </c>
      <c r="B113" s="2" t="s">
        <v>23</v>
      </c>
      <c r="C113" s="2" t="s">
        <v>11</v>
      </c>
      <c r="D113" s="2" t="s">
        <v>15</v>
      </c>
      <c r="E113" s="2">
        <v>697.57</v>
      </c>
      <c r="F113" s="2">
        <v>17</v>
      </c>
      <c r="G113" s="2">
        <v>0.1</v>
      </c>
      <c r="H113" s="3">
        <v>45584</v>
      </c>
      <c r="I113" s="2">
        <v>313.91000000000003</v>
      </c>
    </row>
    <row r="114" spans="1:9" ht="15.75" customHeight="1" x14ac:dyDescent="0.3">
      <c r="A114" s="2" t="s">
        <v>46</v>
      </c>
      <c r="B114" s="2" t="s">
        <v>71</v>
      </c>
      <c r="C114" s="2" t="s">
        <v>11</v>
      </c>
      <c r="D114" s="2" t="s">
        <v>27</v>
      </c>
      <c r="E114" s="2">
        <v>1193.6099999999999</v>
      </c>
      <c r="F114" s="2">
        <v>1</v>
      </c>
      <c r="G114" s="2">
        <v>0.15</v>
      </c>
      <c r="H114" s="3">
        <v>45584</v>
      </c>
      <c r="I114" s="2">
        <v>355.1</v>
      </c>
    </row>
    <row r="115" spans="1:9" ht="15.75" customHeight="1" x14ac:dyDescent="0.3">
      <c r="A115" s="2" t="s">
        <v>32</v>
      </c>
      <c r="B115" s="2" t="s">
        <v>38</v>
      </c>
      <c r="C115" s="2" t="s">
        <v>20</v>
      </c>
      <c r="D115" s="2" t="s">
        <v>21</v>
      </c>
      <c r="E115" s="2">
        <v>771.02</v>
      </c>
      <c r="F115" s="2">
        <v>1</v>
      </c>
      <c r="G115" s="2">
        <v>0</v>
      </c>
      <c r="H115" s="3">
        <v>45585</v>
      </c>
      <c r="I115" s="2">
        <v>192.76</v>
      </c>
    </row>
    <row r="116" spans="1:9" ht="15.75" customHeight="1" x14ac:dyDescent="0.3">
      <c r="A116" s="2" t="s">
        <v>67</v>
      </c>
      <c r="B116" s="2" t="s">
        <v>69</v>
      </c>
      <c r="C116" s="2" t="s">
        <v>24</v>
      </c>
      <c r="D116" s="2" t="s">
        <v>15</v>
      </c>
      <c r="E116" s="2">
        <v>661.09</v>
      </c>
      <c r="F116" s="2">
        <v>1</v>
      </c>
      <c r="G116" s="2">
        <v>0.2</v>
      </c>
      <c r="H116" s="3">
        <v>45593</v>
      </c>
      <c r="I116" s="2">
        <v>264.44</v>
      </c>
    </row>
    <row r="117" spans="1:9" ht="15.75" customHeight="1" x14ac:dyDescent="0.3">
      <c r="A117" s="2" t="s">
        <v>13</v>
      </c>
      <c r="B117" s="2" t="s">
        <v>55</v>
      </c>
      <c r="C117" s="2" t="s">
        <v>11</v>
      </c>
      <c r="D117" s="2" t="s">
        <v>21</v>
      </c>
      <c r="E117" s="2">
        <v>688.83</v>
      </c>
      <c r="F117" s="2">
        <v>15</v>
      </c>
      <c r="G117" s="2">
        <v>0</v>
      </c>
      <c r="H117" s="3">
        <v>45595</v>
      </c>
      <c r="I117" s="2">
        <v>172.21</v>
      </c>
    </row>
    <row r="118" spans="1:9" ht="15.75" customHeight="1" x14ac:dyDescent="0.3">
      <c r="A118" s="2" t="s">
        <v>73</v>
      </c>
      <c r="B118" s="2" t="s">
        <v>29</v>
      </c>
      <c r="C118" s="2" t="s">
        <v>34</v>
      </c>
      <c r="D118" s="2" t="s">
        <v>12</v>
      </c>
      <c r="E118" s="2">
        <v>1249.0999999999999</v>
      </c>
      <c r="F118" s="2">
        <v>4</v>
      </c>
      <c r="G118" s="2">
        <v>0.05</v>
      </c>
      <c r="H118" s="3">
        <v>45597</v>
      </c>
      <c r="I118" s="2">
        <v>474.66</v>
      </c>
    </row>
    <row r="119" spans="1:9" ht="15.75" customHeight="1" x14ac:dyDescent="0.3">
      <c r="A119" s="2" t="s">
        <v>44</v>
      </c>
      <c r="B119" s="2" t="s">
        <v>23</v>
      </c>
      <c r="C119" s="2" t="s">
        <v>18</v>
      </c>
      <c r="D119" s="2" t="s">
        <v>39</v>
      </c>
      <c r="E119" s="2">
        <v>1014.22</v>
      </c>
      <c r="F119" s="2">
        <v>14</v>
      </c>
      <c r="G119" s="2">
        <v>0.05</v>
      </c>
      <c r="H119" s="3">
        <v>45599</v>
      </c>
      <c r="I119" s="2">
        <v>433.58</v>
      </c>
    </row>
    <row r="120" spans="1:9" ht="15.75" customHeight="1" x14ac:dyDescent="0.3">
      <c r="A120" s="2" t="s">
        <v>54</v>
      </c>
      <c r="B120" s="2" t="s">
        <v>48</v>
      </c>
      <c r="C120" s="2" t="s">
        <v>18</v>
      </c>
      <c r="D120" s="2" t="s">
        <v>12</v>
      </c>
      <c r="E120" s="2">
        <v>1010.58</v>
      </c>
      <c r="F120" s="2">
        <v>2</v>
      </c>
      <c r="G120" s="2">
        <v>0.15</v>
      </c>
      <c r="H120" s="3">
        <v>45605</v>
      </c>
      <c r="I120" s="2">
        <v>343.6</v>
      </c>
    </row>
    <row r="121" spans="1:9" ht="15.75" customHeight="1" x14ac:dyDescent="0.3">
      <c r="A121" s="2" t="s">
        <v>30</v>
      </c>
      <c r="B121" s="2" t="s">
        <v>59</v>
      </c>
      <c r="C121" s="2" t="s">
        <v>24</v>
      </c>
      <c r="D121" s="2" t="s">
        <v>27</v>
      </c>
      <c r="E121" s="2">
        <v>957.29</v>
      </c>
      <c r="F121" s="2">
        <v>4</v>
      </c>
      <c r="G121" s="2">
        <v>0.05</v>
      </c>
      <c r="H121" s="3">
        <v>45605</v>
      </c>
      <c r="I121" s="2">
        <v>318.3</v>
      </c>
    </row>
    <row r="122" spans="1:9" ht="15.75" customHeight="1" x14ac:dyDescent="0.3">
      <c r="A122" s="2" t="s">
        <v>28</v>
      </c>
      <c r="B122" s="2" t="s">
        <v>45</v>
      </c>
      <c r="C122" s="2" t="s">
        <v>24</v>
      </c>
      <c r="D122" s="2" t="s">
        <v>27</v>
      </c>
      <c r="E122" s="2">
        <v>1077.92</v>
      </c>
      <c r="F122" s="2">
        <v>3</v>
      </c>
      <c r="G122" s="2">
        <v>0.05</v>
      </c>
      <c r="H122" s="3">
        <v>45608</v>
      </c>
      <c r="I122" s="2">
        <v>358.41</v>
      </c>
    </row>
    <row r="123" spans="1:9" ht="15.75" customHeight="1" x14ac:dyDescent="0.3">
      <c r="A123" s="2" t="s">
        <v>52</v>
      </c>
      <c r="B123" s="2" t="s">
        <v>50</v>
      </c>
      <c r="C123" s="2" t="s">
        <v>20</v>
      </c>
      <c r="D123" s="2" t="s">
        <v>15</v>
      </c>
      <c r="E123" s="2">
        <v>1163.01</v>
      </c>
      <c r="F123" s="2">
        <v>5</v>
      </c>
      <c r="G123" s="2">
        <v>0</v>
      </c>
      <c r="H123" s="3">
        <v>45611</v>
      </c>
      <c r="I123" s="2">
        <v>581.5</v>
      </c>
    </row>
    <row r="124" spans="1:9" ht="15.75" customHeight="1" x14ac:dyDescent="0.3">
      <c r="A124" s="2" t="s">
        <v>54</v>
      </c>
      <c r="B124" s="2" t="s">
        <v>45</v>
      </c>
      <c r="C124" s="2" t="s">
        <v>18</v>
      </c>
      <c r="D124" s="2" t="s">
        <v>39</v>
      </c>
      <c r="E124" s="2">
        <v>1014.56</v>
      </c>
      <c r="F124" s="2">
        <v>10</v>
      </c>
      <c r="G124" s="2">
        <v>0.1</v>
      </c>
      <c r="H124" s="3">
        <v>45612</v>
      </c>
      <c r="I124" s="2">
        <v>410.9</v>
      </c>
    </row>
    <row r="125" spans="1:9" ht="15.75" customHeight="1" x14ac:dyDescent="0.3">
      <c r="A125" s="2" t="s">
        <v>9</v>
      </c>
      <c r="B125" s="2" t="s">
        <v>17</v>
      </c>
      <c r="C125" s="2" t="s">
        <v>20</v>
      </c>
      <c r="D125" s="2" t="s">
        <v>21</v>
      </c>
      <c r="E125" s="2">
        <v>718.04</v>
      </c>
      <c r="F125" s="2">
        <v>14</v>
      </c>
      <c r="G125" s="2">
        <v>0</v>
      </c>
      <c r="H125" s="3">
        <v>45613</v>
      </c>
      <c r="I125" s="2">
        <v>179.51</v>
      </c>
    </row>
    <row r="126" spans="1:9" ht="15.75" customHeight="1" x14ac:dyDescent="0.3">
      <c r="A126" s="2" t="s">
        <v>72</v>
      </c>
      <c r="B126" s="2" t="s">
        <v>17</v>
      </c>
      <c r="C126" s="2" t="s">
        <v>34</v>
      </c>
      <c r="D126" s="2" t="s">
        <v>15</v>
      </c>
      <c r="E126" s="2">
        <v>1277.8499999999999</v>
      </c>
      <c r="F126" s="2">
        <v>18</v>
      </c>
      <c r="G126" s="2">
        <v>0.2</v>
      </c>
      <c r="H126" s="3">
        <v>45613</v>
      </c>
      <c r="I126" s="2">
        <v>511.14</v>
      </c>
    </row>
    <row r="127" spans="1:9" ht="15.75" customHeight="1" x14ac:dyDescent="0.3">
      <c r="A127" s="2" t="s">
        <v>70</v>
      </c>
      <c r="B127" s="2" t="s">
        <v>23</v>
      </c>
      <c r="C127" s="2" t="s">
        <v>24</v>
      </c>
      <c r="D127" s="2" t="s">
        <v>21</v>
      </c>
      <c r="E127" s="2">
        <v>706.73</v>
      </c>
      <c r="F127" s="2">
        <v>1</v>
      </c>
      <c r="G127" s="2">
        <v>0.15</v>
      </c>
      <c r="H127" s="3">
        <v>45613</v>
      </c>
      <c r="I127" s="2">
        <v>150.18</v>
      </c>
    </row>
    <row r="128" spans="1:9" ht="15.75" customHeight="1" x14ac:dyDescent="0.3">
      <c r="A128" s="2" t="s">
        <v>65</v>
      </c>
      <c r="B128" s="2" t="s">
        <v>50</v>
      </c>
      <c r="C128" s="2" t="s">
        <v>18</v>
      </c>
      <c r="D128" s="2" t="s">
        <v>21</v>
      </c>
      <c r="E128" s="2">
        <v>1410.59</v>
      </c>
      <c r="F128" s="2">
        <v>15</v>
      </c>
      <c r="G128" s="2">
        <v>0</v>
      </c>
      <c r="H128" s="3">
        <v>45615</v>
      </c>
      <c r="I128" s="2">
        <v>352.65</v>
      </c>
    </row>
    <row r="129" spans="1:9" ht="15.75" customHeight="1" x14ac:dyDescent="0.3">
      <c r="A129" s="2" t="s">
        <v>32</v>
      </c>
      <c r="B129" s="2" t="s">
        <v>61</v>
      </c>
      <c r="C129" s="2" t="s">
        <v>20</v>
      </c>
      <c r="D129" s="2" t="s">
        <v>27</v>
      </c>
      <c r="E129" s="2">
        <v>1350.33</v>
      </c>
      <c r="F129" s="2">
        <v>10</v>
      </c>
      <c r="G129" s="2">
        <v>0</v>
      </c>
      <c r="H129" s="3">
        <v>45615</v>
      </c>
      <c r="I129" s="2">
        <v>472.62</v>
      </c>
    </row>
    <row r="130" spans="1:9" ht="15.75" customHeight="1" x14ac:dyDescent="0.3">
      <c r="A130" s="2" t="s">
        <v>41</v>
      </c>
      <c r="B130" s="2" t="s">
        <v>45</v>
      </c>
      <c r="C130" s="2" t="s">
        <v>18</v>
      </c>
      <c r="D130" s="2" t="s">
        <v>21</v>
      </c>
      <c r="E130" s="2">
        <v>919.18</v>
      </c>
      <c r="F130" s="2">
        <v>4</v>
      </c>
      <c r="G130" s="2">
        <v>0.15</v>
      </c>
      <c r="H130" s="3">
        <v>45615</v>
      </c>
      <c r="I130" s="2">
        <v>195.33</v>
      </c>
    </row>
    <row r="131" spans="1:9" ht="15.75" customHeight="1" x14ac:dyDescent="0.3">
      <c r="A131" s="2" t="s">
        <v>74</v>
      </c>
      <c r="B131" s="2" t="s">
        <v>23</v>
      </c>
      <c r="C131" s="2" t="s">
        <v>11</v>
      </c>
      <c r="D131" s="2" t="s">
        <v>21</v>
      </c>
      <c r="E131" s="2">
        <v>258.51</v>
      </c>
      <c r="F131" s="2">
        <v>19</v>
      </c>
      <c r="G131" s="2">
        <v>0</v>
      </c>
      <c r="H131" s="3">
        <v>45616</v>
      </c>
      <c r="I131" s="2">
        <v>64.63</v>
      </c>
    </row>
    <row r="132" spans="1:9" ht="15.75" customHeight="1" x14ac:dyDescent="0.3">
      <c r="A132" s="2" t="s">
        <v>63</v>
      </c>
      <c r="B132" s="2" t="s">
        <v>61</v>
      </c>
      <c r="C132" s="2" t="s">
        <v>18</v>
      </c>
      <c r="D132" s="2" t="s">
        <v>12</v>
      </c>
      <c r="E132" s="2">
        <v>1213.48</v>
      </c>
      <c r="F132" s="2">
        <v>5</v>
      </c>
      <c r="G132" s="2">
        <v>0.05</v>
      </c>
      <c r="H132" s="3">
        <v>45616</v>
      </c>
      <c r="I132" s="2">
        <v>461.12</v>
      </c>
    </row>
    <row r="133" spans="1:9" ht="15.75" customHeight="1" x14ac:dyDescent="0.3">
      <c r="A133" s="2" t="s">
        <v>57</v>
      </c>
      <c r="B133" s="2" t="s">
        <v>38</v>
      </c>
      <c r="C133" s="2" t="s">
        <v>34</v>
      </c>
      <c r="D133" s="2" t="s">
        <v>12</v>
      </c>
      <c r="E133" s="2">
        <v>1150.28</v>
      </c>
      <c r="F133" s="2">
        <v>8</v>
      </c>
      <c r="G133" s="2">
        <v>0.05</v>
      </c>
      <c r="H133" s="3">
        <v>45622</v>
      </c>
      <c r="I133" s="2">
        <v>437.11</v>
      </c>
    </row>
    <row r="134" spans="1:9" ht="15.75" customHeight="1" x14ac:dyDescent="0.3">
      <c r="A134" s="2" t="s">
        <v>37</v>
      </c>
      <c r="B134" s="2" t="s">
        <v>71</v>
      </c>
      <c r="C134" s="2" t="s">
        <v>20</v>
      </c>
      <c r="D134" s="2" t="s">
        <v>27</v>
      </c>
      <c r="E134" s="2">
        <v>853.86</v>
      </c>
      <c r="F134" s="2">
        <v>8</v>
      </c>
      <c r="G134" s="2">
        <v>0.1</v>
      </c>
      <c r="H134" s="3">
        <v>45622</v>
      </c>
      <c r="I134" s="2">
        <v>268.97000000000003</v>
      </c>
    </row>
    <row r="135" spans="1:9" ht="15.75" customHeight="1" x14ac:dyDescent="0.3">
      <c r="A135" s="2" t="s">
        <v>75</v>
      </c>
      <c r="B135" s="2" t="s">
        <v>45</v>
      </c>
      <c r="C135" s="2" t="s">
        <v>20</v>
      </c>
      <c r="D135" s="2" t="s">
        <v>21</v>
      </c>
      <c r="E135" s="2">
        <v>1061.04</v>
      </c>
      <c r="F135" s="2">
        <v>1</v>
      </c>
      <c r="G135" s="2">
        <v>0</v>
      </c>
      <c r="H135" s="3">
        <v>45624</v>
      </c>
      <c r="I135" s="2">
        <v>265.26</v>
      </c>
    </row>
    <row r="136" spans="1:9" ht="15.75" customHeight="1" x14ac:dyDescent="0.3">
      <c r="A136" s="2" t="s">
        <v>28</v>
      </c>
      <c r="B136" s="2" t="s">
        <v>43</v>
      </c>
      <c r="C136" s="2" t="s">
        <v>11</v>
      </c>
      <c r="D136" s="2" t="s">
        <v>21</v>
      </c>
      <c r="E136" s="2">
        <v>894.55</v>
      </c>
      <c r="F136" s="2">
        <v>19</v>
      </c>
      <c r="G136" s="2">
        <v>0.2</v>
      </c>
      <c r="H136" s="3">
        <v>45625</v>
      </c>
      <c r="I136" s="2">
        <v>178.91</v>
      </c>
    </row>
    <row r="137" spans="1:9" ht="15.75" customHeight="1" x14ac:dyDescent="0.3">
      <c r="A137" s="2" t="s">
        <v>25</v>
      </c>
      <c r="B137" s="2" t="s">
        <v>38</v>
      </c>
      <c r="C137" s="2" t="s">
        <v>24</v>
      </c>
      <c r="D137" s="2" t="s">
        <v>39</v>
      </c>
      <c r="E137" s="2">
        <v>833.91</v>
      </c>
      <c r="F137" s="2">
        <v>3</v>
      </c>
      <c r="G137" s="2">
        <v>0.05</v>
      </c>
      <c r="H137" s="3">
        <v>45626</v>
      </c>
      <c r="I137" s="2">
        <v>356.5</v>
      </c>
    </row>
    <row r="138" spans="1:9" ht="15.75" customHeight="1" x14ac:dyDescent="0.3">
      <c r="A138" s="2" t="s">
        <v>58</v>
      </c>
      <c r="B138" s="2" t="s">
        <v>71</v>
      </c>
      <c r="C138" s="2" t="s">
        <v>11</v>
      </c>
      <c r="D138" s="2" t="s">
        <v>27</v>
      </c>
      <c r="E138" s="2">
        <v>820.19</v>
      </c>
      <c r="F138" s="2">
        <v>4</v>
      </c>
      <c r="G138" s="2">
        <v>0.2</v>
      </c>
      <c r="H138" s="3">
        <v>45630</v>
      </c>
      <c r="I138" s="2">
        <v>229.65</v>
      </c>
    </row>
    <row r="139" spans="1:9" ht="15.75" customHeight="1" x14ac:dyDescent="0.3">
      <c r="A139" s="2" t="s">
        <v>58</v>
      </c>
      <c r="B139" s="2" t="s">
        <v>38</v>
      </c>
      <c r="C139" s="2" t="s">
        <v>34</v>
      </c>
      <c r="D139" s="2" t="s">
        <v>21</v>
      </c>
      <c r="E139" s="2">
        <v>511.74</v>
      </c>
      <c r="F139" s="2">
        <v>8</v>
      </c>
      <c r="G139" s="2">
        <v>0.05</v>
      </c>
      <c r="H139" s="3">
        <v>45631</v>
      </c>
      <c r="I139" s="2">
        <v>121.54</v>
      </c>
    </row>
    <row r="140" spans="1:9" ht="15.75" customHeight="1" x14ac:dyDescent="0.3">
      <c r="A140" s="2" t="s">
        <v>65</v>
      </c>
      <c r="B140" s="2" t="s">
        <v>61</v>
      </c>
      <c r="C140" s="2" t="s">
        <v>20</v>
      </c>
      <c r="D140" s="2" t="s">
        <v>27</v>
      </c>
      <c r="E140" s="2">
        <v>806.03</v>
      </c>
      <c r="F140" s="2">
        <v>19</v>
      </c>
      <c r="G140" s="2">
        <v>0.05</v>
      </c>
      <c r="H140" s="3">
        <v>45638</v>
      </c>
      <c r="I140" s="2">
        <v>268</v>
      </c>
    </row>
    <row r="141" spans="1:9" ht="15.75" customHeight="1" x14ac:dyDescent="0.3">
      <c r="A141" s="2" t="s">
        <v>28</v>
      </c>
      <c r="B141" s="2" t="s">
        <v>26</v>
      </c>
      <c r="C141" s="2" t="s">
        <v>34</v>
      </c>
      <c r="D141" s="2" t="s">
        <v>27</v>
      </c>
      <c r="E141" s="2">
        <v>1432.47</v>
      </c>
      <c r="F141" s="2">
        <v>16</v>
      </c>
      <c r="G141" s="2">
        <v>0.15</v>
      </c>
      <c r="H141" s="3">
        <v>45640</v>
      </c>
      <c r="I141" s="2">
        <v>426.16</v>
      </c>
    </row>
    <row r="142" spans="1:9" ht="15.75" customHeight="1" x14ac:dyDescent="0.3">
      <c r="A142" s="2" t="s">
        <v>74</v>
      </c>
      <c r="B142" s="2" t="s">
        <v>29</v>
      </c>
      <c r="C142" s="2" t="s">
        <v>34</v>
      </c>
      <c r="D142" s="2" t="s">
        <v>21</v>
      </c>
      <c r="E142" s="2">
        <v>1488.58</v>
      </c>
      <c r="F142" s="2">
        <v>10</v>
      </c>
      <c r="G142" s="2">
        <v>0.15</v>
      </c>
      <c r="H142" s="3">
        <v>45640</v>
      </c>
      <c r="I142" s="2">
        <v>316.32</v>
      </c>
    </row>
    <row r="143" spans="1:9" ht="15.75" customHeight="1" x14ac:dyDescent="0.3">
      <c r="A143" s="2" t="s">
        <v>30</v>
      </c>
      <c r="B143" s="2" t="s">
        <v>66</v>
      </c>
      <c r="C143" s="2" t="s">
        <v>18</v>
      </c>
      <c r="D143" s="2" t="s">
        <v>12</v>
      </c>
      <c r="E143" s="2">
        <v>1231.26</v>
      </c>
      <c r="F143" s="2">
        <v>9</v>
      </c>
      <c r="G143" s="2">
        <v>0</v>
      </c>
      <c r="H143" s="3">
        <v>45646</v>
      </c>
      <c r="I143" s="2">
        <v>492.5</v>
      </c>
    </row>
    <row r="144" spans="1:9" ht="15.75" customHeight="1" x14ac:dyDescent="0.3">
      <c r="A144" s="2" t="s">
        <v>30</v>
      </c>
      <c r="B144" s="2" t="s">
        <v>43</v>
      </c>
      <c r="C144" s="2" t="s">
        <v>11</v>
      </c>
      <c r="D144" s="2" t="s">
        <v>21</v>
      </c>
      <c r="E144" s="2">
        <v>1161.67</v>
      </c>
      <c r="F144" s="2">
        <v>19</v>
      </c>
      <c r="G144" s="2">
        <v>0.2</v>
      </c>
      <c r="H144" s="3">
        <v>45647</v>
      </c>
      <c r="I144" s="2">
        <v>232.33</v>
      </c>
    </row>
    <row r="145" spans="1:9" ht="15.75" customHeight="1" x14ac:dyDescent="0.3">
      <c r="A145" s="2" t="s">
        <v>49</v>
      </c>
      <c r="B145" s="2" t="s">
        <v>45</v>
      </c>
      <c r="C145" s="2" t="s">
        <v>34</v>
      </c>
      <c r="D145" s="2" t="s">
        <v>39</v>
      </c>
      <c r="E145" s="2">
        <v>388.23</v>
      </c>
      <c r="F145" s="2">
        <v>16</v>
      </c>
      <c r="G145" s="2">
        <v>0.05</v>
      </c>
      <c r="H145" s="3">
        <v>45650</v>
      </c>
      <c r="I145" s="2">
        <v>165.97</v>
      </c>
    </row>
    <row r="146" spans="1:9" ht="15.75" customHeight="1" x14ac:dyDescent="0.3">
      <c r="A146" s="2" t="s">
        <v>72</v>
      </c>
      <c r="B146" s="2" t="s">
        <v>31</v>
      </c>
      <c r="C146" s="2" t="s">
        <v>24</v>
      </c>
      <c r="D146" s="2" t="s">
        <v>15</v>
      </c>
      <c r="E146" s="2">
        <v>1589.42</v>
      </c>
      <c r="F146" s="2">
        <v>6</v>
      </c>
      <c r="G146" s="2">
        <v>0.15</v>
      </c>
      <c r="H146" s="3">
        <v>45651</v>
      </c>
      <c r="I146" s="2">
        <v>675.5</v>
      </c>
    </row>
    <row r="147" spans="1:9" ht="15.75" customHeight="1" x14ac:dyDescent="0.3">
      <c r="A147" s="2" t="s">
        <v>28</v>
      </c>
      <c r="B147" s="2" t="s">
        <v>71</v>
      </c>
      <c r="C147" s="2" t="s">
        <v>24</v>
      </c>
      <c r="D147" s="2" t="s">
        <v>15</v>
      </c>
      <c r="E147" s="2">
        <v>336.66</v>
      </c>
      <c r="F147" s="2">
        <v>13</v>
      </c>
      <c r="G147" s="2">
        <v>0.2</v>
      </c>
      <c r="H147" s="3">
        <v>45651</v>
      </c>
      <c r="I147" s="2">
        <v>134.66</v>
      </c>
    </row>
    <row r="148" spans="1:9" ht="15.75" customHeight="1" x14ac:dyDescent="0.3">
      <c r="A148" s="2" t="s">
        <v>49</v>
      </c>
      <c r="B148" s="2" t="s">
        <v>23</v>
      </c>
      <c r="C148" s="2" t="s">
        <v>11</v>
      </c>
      <c r="D148" s="2" t="s">
        <v>12</v>
      </c>
      <c r="E148" s="2">
        <v>1353.79</v>
      </c>
      <c r="F148" s="2">
        <v>14</v>
      </c>
      <c r="G148" s="2">
        <v>0.1</v>
      </c>
      <c r="H148" s="3">
        <v>45656</v>
      </c>
      <c r="I148" s="2">
        <v>487.36</v>
      </c>
    </row>
    <row r="149" spans="1:9" ht="15.75" customHeight="1" x14ac:dyDescent="0.3">
      <c r="A149" s="2" t="s">
        <v>63</v>
      </c>
      <c r="B149" s="2" t="s">
        <v>69</v>
      </c>
      <c r="C149" s="2" t="s">
        <v>34</v>
      </c>
      <c r="D149" s="2" t="s">
        <v>15</v>
      </c>
      <c r="E149" s="2">
        <v>662.61</v>
      </c>
      <c r="F149" s="2">
        <v>11</v>
      </c>
      <c r="G149" s="2">
        <v>0.05</v>
      </c>
      <c r="H149" s="3">
        <v>45658</v>
      </c>
      <c r="I149" s="2">
        <v>314.74</v>
      </c>
    </row>
    <row r="150" spans="1:9" ht="15.75" customHeight="1" x14ac:dyDescent="0.3">
      <c r="A150" s="2" t="s">
        <v>52</v>
      </c>
      <c r="B150" s="2" t="s">
        <v>48</v>
      </c>
      <c r="C150" s="2" t="s">
        <v>24</v>
      </c>
      <c r="D150" s="2" t="s">
        <v>39</v>
      </c>
      <c r="E150" s="2">
        <v>309.42</v>
      </c>
      <c r="F150" s="2">
        <v>1</v>
      </c>
      <c r="G150" s="2">
        <v>0.2</v>
      </c>
      <c r="H150" s="3">
        <v>45658</v>
      </c>
      <c r="I150" s="2">
        <v>111.39</v>
      </c>
    </row>
    <row r="151" spans="1:9" ht="15.75" customHeight="1" x14ac:dyDescent="0.3">
      <c r="A151" s="2" t="s">
        <v>63</v>
      </c>
      <c r="B151" s="2" t="s">
        <v>29</v>
      </c>
      <c r="C151" s="2" t="s">
        <v>24</v>
      </c>
      <c r="D151" s="2" t="s">
        <v>12</v>
      </c>
      <c r="E151" s="2">
        <v>884.63</v>
      </c>
      <c r="F151" s="2">
        <v>18</v>
      </c>
      <c r="G151" s="2">
        <v>0.1</v>
      </c>
      <c r="H151" s="3">
        <v>45659</v>
      </c>
      <c r="I151" s="2">
        <v>318.47000000000003</v>
      </c>
    </row>
    <row r="152" spans="1:9" ht="15.75" customHeight="1" x14ac:dyDescent="0.3">
      <c r="A152" s="2" t="s">
        <v>52</v>
      </c>
      <c r="B152" s="2" t="s">
        <v>23</v>
      </c>
      <c r="C152" s="2" t="s">
        <v>34</v>
      </c>
      <c r="D152" s="2" t="s">
        <v>39</v>
      </c>
      <c r="E152" s="2">
        <v>745.05</v>
      </c>
      <c r="F152" s="2">
        <v>10</v>
      </c>
      <c r="G152" s="2">
        <v>0.1</v>
      </c>
      <c r="H152" s="3">
        <v>45660</v>
      </c>
      <c r="I152" s="2">
        <v>301.75</v>
      </c>
    </row>
    <row r="153" spans="1:9" ht="15.75" customHeight="1" x14ac:dyDescent="0.3">
      <c r="A153" s="2" t="s">
        <v>60</v>
      </c>
      <c r="B153" s="2" t="s">
        <v>17</v>
      </c>
      <c r="C153" s="2" t="s">
        <v>20</v>
      </c>
      <c r="D153" s="2" t="s">
        <v>15</v>
      </c>
      <c r="E153" s="2">
        <v>870.23</v>
      </c>
      <c r="F153" s="2">
        <v>5</v>
      </c>
      <c r="G153" s="2">
        <v>0.05</v>
      </c>
      <c r="H153" s="3">
        <v>45660</v>
      </c>
      <c r="I153" s="2">
        <v>413.36</v>
      </c>
    </row>
    <row r="154" spans="1:9" ht="15.75" customHeight="1" x14ac:dyDescent="0.3">
      <c r="A154" s="2" t="s">
        <v>35</v>
      </c>
      <c r="B154" s="2" t="s">
        <v>29</v>
      </c>
      <c r="C154" s="2" t="s">
        <v>11</v>
      </c>
      <c r="D154" s="2" t="s">
        <v>27</v>
      </c>
      <c r="E154" s="2">
        <v>862.19</v>
      </c>
      <c r="F154" s="2">
        <v>18</v>
      </c>
      <c r="G154" s="2">
        <v>0.05</v>
      </c>
      <c r="H154" s="3">
        <v>45663</v>
      </c>
      <c r="I154" s="2">
        <v>286.68</v>
      </c>
    </row>
    <row r="155" spans="1:9" ht="15.75" customHeight="1" x14ac:dyDescent="0.3">
      <c r="A155" s="2" t="s">
        <v>73</v>
      </c>
      <c r="B155" s="2" t="s">
        <v>59</v>
      </c>
      <c r="C155" s="2" t="s">
        <v>24</v>
      </c>
      <c r="D155" s="2" t="s">
        <v>15</v>
      </c>
      <c r="E155" s="2">
        <v>1171.18</v>
      </c>
      <c r="F155" s="2">
        <v>19</v>
      </c>
      <c r="G155" s="2">
        <v>0.05</v>
      </c>
      <c r="H155" s="3">
        <v>45667</v>
      </c>
      <c r="I155" s="2">
        <v>556.30999999999995</v>
      </c>
    </row>
    <row r="156" spans="1:9" ht="15.75" customHeight="1" x14ac:dyDescent="0.3">
      <c r="A156" s="2" t="s">
        <v>58</v>
      </c>
      <c r="B156" s="2" t="s">
        <v>14</v>
      </c>
      <c r="C156" s="2" t="s">
        <v>20</v>
      </c>
      <c r="D156" s="2" t="s">
        <v>27</v>
      </c>
      <c r="E156" s="2">
        <v>1054.56</v>
      </c>
      <c r="F156" s="2">
        <v>11</v>
      </c>
      <c r="G156" s="2">
        <v>0.1</v>
      </c>
      <c r="H156" s="3">
        <v>45669</v>
      </c>
      <c r="I156" s="2">
        <v>332.19</v>
      </c>
    </row>
    <row r="157" spans="1:9" ht="15.75" customHeight="1" x14ac:dyDescent="0.3">
      <c r="A157" s="2" t="s">
        <v>58</v>
      </c>
      <c r="B157" s="2" t="s">
        <v>23</v>
      </c>
      <c r="C157" s="2" t="s">
        <v>24</v>
      </c>
      <c r="D157" s="2" t="s">
        <v>21</v>
      </c>
      <c r="E157" s="2">
        <v>1681.21</v>
      </c>
      <c r="F157" s="2">
        <v>5</v>
      </c>
      <c r="G157" s="2">
        <v>0.2</v>
      </c>
      <c r="H157" s="3">
        <v>45670</v>
      </c>
      <c r="I157" s="2">
        <v>336.24</v>
      </c>
    </row>
    <row r="158" spans="1:9" ht="15.75" customHeight="1" x14ac:dyDescent="0.3">
      <c r="A158" s="2" t="s">
        <v>58</v>
      </c>
      <c r="B158" s="2" t="s">
        <v>36</v>
      </c>
      <c r="C158" s="2" t="s">
        <v>11</v>
      </c>
      <c r="D158" s="2" t="s">
        <v>15</v>
      </c>
      <c r="E158" s="2">
        <v>379.77</v>
      </c>
      <c r="F158" s="2">
        <v>9</v>
      </c>
      <c r="G158" s="2">
        <v>0.05</v>
      </c>
      <c r="H158" s="3">
        <v>45673</v>
      </c>
      <c r="I158" s="2">
        <v>180.39</v>
      </c>
    </row>
    <row r="159" spans="1:9" ht="15.75" customHeight="1" x14ac:dyDescent="0.3">
      <c r="A159" s="2" t="s">
        <v>44</v>
      </c>
      <c r="B159" s="2" t="s">
        <v>45</v>
      </c>
      <c r="C159" s="2" t="s">
        <v>34</v>
      </c>
      <c r="D159" s="2" t="s">
        <v>15</v>
      </c>
      <c r="E159" s="2">
        <v>1076.33</v>
      </c>
      <c r="F159" s="2">
        <v>2</v>
      </c>
      <c r="G159" s="2">
        <v>0.1</v>
      </c>
      <c r="H159" s="3">
        <v>45674</v>
      </c>
      <c r="I159" s="2">
        <v>484.35</v>
      </c>
    </row>
    <row r="160" spans="1:9" ht="15.75" customHeight="1" x14ac:dyDescent="0.3">
      <c r="A160" s="2" t="s">
        <v>44</v>
      </c>
      <c r="B160" s="2" t="s">
        <v>31</v>
      </c>
      <c r="C160" s="2" t="s">
        <v>34</v>
      </c>
      <c r="D160" s="2" t="s">
        <v>39</v>
      </c>
      <c r="E160" s="2">
        <v>1250.71</v>
      </c>
      <c r="F160" s="2">
        <v>7</v>
      </c>
      <c r="G160" s="2">
        <v>0</v>
      </c>
      <c r="H160" s="3">
        <v>45674</v>
      </c>
      <c r="I160" s="2">
        <v>562.82000000000005</v>
      </c>
    </row>
    <row r="161" spans="1:9" ht="15.75" customHeight="1" x14ac:dyDescent="0.3">
      <c r="A161" s="2" t="s">
        <v>40</v>
      </c>
      <c r="B161" s="2" t="s">
        <v>17</v>
      </c>
      <c r="C161" s="2" t="s">
        <v>20</v>
      </c>
      <c r="D161" s="2" t="s">
        <v>15</v>
      </c>
      <c r="E161" s="2">
        <v>1118.3399999999999</v>
      </c>
      <c r="F161" s="2">
        <v>6</v>
      </c>
      <c r="G161" s="2">
        <v>0.2</v>
      </c>
      <c r="H161" s="3">
        <v>45674</v>
      </c>
      <c r="I161" s="2">
        <v>447.34</v>
      </c>
    </row>
    <row r="162" spans="1:9" ht="15.75" customHeight="1" x14ac:dyDescent="0.3">
      <c r="A162" s="2" t="s">
        <v>70</v>
      </c>
      <c r="B162" s="2" t="s">
        <v>53</v>
      </c>
      <c r="C162" s="2" t="s">
        <v>24</v>
      </c>
      <c r="D162" s="2" t="s">
        <v>15</v>
      </c>
      <c r="E162" s="2">
        <v>1622.62</v>
      </c>
      <c r="F162" s="2">
        <v>12</v>
      </c>
      <c r="G162" s="2">
        <v>0.2</v>
      </c>
      <c r="H162" s="3">
        <v>45677</v>
      </c>
      <c r="I162" s="2">
        <v>649.04999999999995</v>
      </c>
    </row>
    <row r="163" spans="1:9" ht="15.75" customHeight="1" x14ac:dyDescent="0.3">
      <c r="A163" s="2" t="s">
        <v>75</v>
      </c>
      <c r="B163" s="2" t="s">
        <v>48</v>
      </c>
      <c r="C163" s="2" t="s">
        <v>24</v>
      </c>
      <c r="D163" s="2" t="s">
        <v>12</v>
      </c>
      <c r="E163" s="2">
        <v>640.64</v>
      </c>
      <c r="F163" s="2">
        <v>11</v>
      </c>
      <c r="G163" s="2">
        <v>0.2</v>
      </c>
      <c r="H163" s="3">
        <v>45678</v>
      </c>
      <c r="I163" s="2">
        <v>205</v>
      </c>
    </row>
    <row r="164" spans="1:9" ht="15.75" customHeight="1" x14ac:dyDescent="0.3">
      <c r="A164" s="2" t="s">
        <v>22</v>
      </c>
      <c r="B164" s="2" t="s">
        <v>43</v>
      </c>
      <c r="C164" s="2" t="s">
        <v>11</v>
      </c>
      <c r="D164" s="2" t="s">
        <v>15</v>
      </c>
      <c r="E164" s="2">
        <v>585.16</v>
      </c>
      <c r="F164" s="2">
        <v>17</v>
      </c>
      <c r="G164" s="2">
        <v>0.1</v>
      </c>
      <c r="H164" s="3">
        <v>45684</v>
      </c>
      <c r="I164" s="2">
        <v>263.32</v>
      </c>
    </row>
    <row r="165" spans="1:9" ht="15.75" customHeight="1" x14ac:dyDescent="0.3">
      <c r="A165" s="2" t="s">
        <v>22</v>
      </c>
      <c r="B165" s="2" t="s">
        <v>31</v>
      </c>
      <c r="C165" s="2" t="s">
        <v>18</v>
      </c>
      <c r="D165" s="2" t="s">
        <v>15</v>
      </c>
      <c r="E165" s="2">
        <v>1109.98</v>
      </c>
      <c r="F165" s="2">
        <v>5</v>
      </c>
      <c r="G165" s="2">
        <v>0.2</v>
      </c>
      <c r="H165" s="3">
        <v>45690</v>
      </c>
      <c r="I165" s="2">
        <v>443.99</v>
      </c>
    </row>
    <row r="166" spans="1:9" ht="15.75" customHeight="1" x14ac:dyDescent="0.3">
      <c r="A166" s="2" t="s">
        <v>58</v>
      </c>
      <c r="B166" s="2" t="s">
        <v>45</v>
      </c>
      <c r="C166" s="2" t="s">
        <v>18</v>
      </c>
      <c r="D166" s="2" t="s">
        <v>12</v>
      </c>
      <c r="E166" s="2">
        <v>1098.08</v>
      </c>
      <c r="F166" s="2">
        <v>9</v>
      </c>
      <c r="G166" s="2">
        <v>0.1</v>
      </c>
      <c r="H166" s="3">
        <v>45692</v>
      </c>
      <c r="I166" s="2">
        <v>395.31</v>
      </c>
    </row>
    <row r="167" spans="1:9" ht="15.75" customHeight="1" x14ac:dyDescent="0.3">
      <c r="A167" s="2" t="s">
        <v>65</v>
      </c>
      <c r="B167" s="2" t="s">
        <v>48</v>
      </c>
      <c r="C167" s="2" t="s">
        <v>11</v>
      </c>
      <c r="D167" s="2" t="s">
        <v>39</v>
      </c>
      <c r="E167" s="2">
        <v>827.25</v>
      </c>
      <c r="F167" s="2">
        <v>7</v>
      </c>
      <c r="G167" s="2">
        <v>0.1</v>
      </c>
      <c r="H167" s="3">
        <v>45693</v>
      </c>
      <c r="I167" s="2">
        <v>335.04</v>
      </c>
    </row>
    <row r="168" spans="1:9" ht="15.75" customHeight="1" x14ac:dyDescent="0.3">
      <c r="A168" s="2" t="s">
        <v>70</v>
      </c>
      <c r="B168" s="2" t="s">
        <v>29</v>
      </c>
      <c r="C168" s="2" t="s">
        <v>34</v>
      </c>
      <c r="D168" s="2" t="s">
        <v>15</v>
      </c>
      <c r="E168" s="2">
        <v>741.88</v>
      </c>
      <c r="F168" s="2">
        <v>16</v>
      </c>
      <c r="G168" s="2">
        <v>0.1</v>
      </c>
      <c r="H168" s="3">
        <v>45695</v>
      </c>
      <c r="I168" s="2">
        <v>333.85</v>
      </c>
    </row>
    <row r="169" spans="1:9" ht="15.75" customHeight="1" x14ac:dyDescent="0.3">
      <c r="A169" s="2" t="s">
        <v>72</v>
      </c>
      <c r="B169" s="2" t="s">
        <v>10</v>
      </c>
      <c r="C169" s="2" t="s">
        <v>18</v>
      </c>
      <c r="D169" s="2" t="s">
        <v>39</v>
      </c>
      <c r="E169" s="2">
        <v>1311.26</v>
      </c>
      <c r="F169" s="2">
        <v>6</v>
      </c>
      <c r="G169" s="2">
        <v>0.1</v>
      </c>
      <c r="H169" s="3">
        <v>45698</v>
      </c>
      <c r="I169" s="2">
        <v>531.05999999999995</v>
      </c>
    </row>
    <row r="170" spans="1:9" ht="15.75" customHeight="1" x14ac:dyDescent="0.3">
      <c r="A170" s="2" t="s">
        <v>72</v>
      </c>
      <c r="B170" s="2" t="s">
        <v>31</v>
      </c>
      <c r="C170" s="2" t="s">
        <v>20</v>
      </c>
      <c r="D170" s="2" t="s">
        <v>39</v>
      </c>
      <c r="E170" s="2">
        <v>573.32000000000005</v>
      </c>
      <c r="F170" s="2">
        <v>19</v>
      </c>
      <c r="G170" s="2">
        <v>0.1</v>
      </c>
      <c r="H170" s="3">
        <v>45703</v>
      </c>
      <c r="I170" s="2">
        <v>232.19</v>
      </c>
    </row>
    <row r="171" spans="1:9" ht="15.75" customHeight="1" x14ac:dyDescent="0.3">
      <c r="A171" s="2" t="s">
        <v>52</v>
      </c>
      <c r="B171" s="2" t="s">
        <v>23</v>
      </c>
      <c r="C171" s="2" t="s">
        <v>11</v>
      </c>
      <c r="D171" s="2" t="s">
        <v>21</v>
      </c>
      <c r="E171" s="2">
        <v>1115.22</v>
      </c>
      <c r="F171" s="2">
        <v>14</v>
      </c>
      <c r="G171" s="2">
        <v>0.2</v>
      </c>
      <c r="H171" s="3">
        <v>45705</v>
      </c>
      <c r="I171" s="2">
        <v>223.04</v>
      </c>
    </row>
    <row r="172" spans="1:9" ht="15.75" customHeight="1" x14ac:dyDescent="0.3">
      <c r="A172" s="2" t="s">
        <v>13</v>
      </c>
      <c r="B172" s="2" t="s">
        <v>45</v>
      </c>
      <c r="C172" s="2" t="s">
        <v>24</v>
      </c>
      <c r="D172" s="2" t="s">
        <v>15</v>
      </c>
      <c r="E172" s="2">
        <v>845.84</v>
      </c>
      <c r="F172" s="2">
        <v>4</v>
      </c>
      <c r="G172" s="2">
        <v>0</v>
      </c>
      <c r="H172" s="3">
        <v>45707</v>
      </c>
      <c r="I172" s="2">
        <v>422.92</v>
      </c>
    </row>
    <row r="173" spans="1:9" ht="15.75" customHeight="1" x14ac:dyDescent="0.3">
      <c r="A173" s="2" t="s">
        <v>30</v>
      </c>
      <c r="B173" s="2" t="s">
        <v>55</v>
      </c>
      <c r="C173" s="2" t="s">
        <v>11</v>
      </c>
      <c r="D173" s="2" t="s">
        <v>21</v>
      </c>
      <c r="E173" s="2">
        <v>1029.8</v>
      </c>
      <c r="F173" s="2">
        <v>3</v>
      </c>
      <c r="G173" s="2">
        <v>0</v>
      </c>
      <c r="H173" s="3">
        <v>45708</v>
      </c>
      <c r="I173" s="2">
        <v>257.45</v>
      </c>
    </row>
    <row r="174" spans="1:9" ht="15.75" customHeight="1" x14ac:dyDescent="0.3">
      <c r="A174" s="2" t="s">
        <v>32</v>
      </c>
      <c r="B174" s="2" t="s">
        <v>31</v>
      </c>
      <c r="C174" s="2" t="s">
        <v>24</v>
      </c>
      <c r="D174" s="2" t="s">
        <v>12</v>
      </c>
      <c r="E174" s="2">
        <v>1189.83</v>
      </c>
      <c r="F174" s="2">
        <v>2</v>
      </c>
      <c r="G174" s="2">
        <v>0.2</v>
      </c>
      <c r="H174" s="3">
        <v>45709</v>
      </c>
      <c r="I174" s="2">
        <v>380.75</v>
      </c>
    </row>
    <row r="175" spans="1:9" ht="15.75" customHeight="1" x14ac:dyDescent="0.3">
      <c r="A175" s="2" t="s">
        <v>67</v>
      </c>
      <c r="B175" s="2" t="s">
        <v>43</v>
      </c>
      <c r="C175" s="2" t="s">
        <v>20</v>
      </c>
      <c r="D175" s="2" t="s">
        <v>12</v>
      </c>
      <c r="E175" s="2">
        <v>704.28</v>
      </c>
      <c r="F175" s="2">
        <v>15</v>
      </c>
      <c r="G175" s="2">
        <v>0.2</v>
      </c>
      <c r="H175" s="3">
        <v>45712</v>
      </c>
      <c r="I175" s="2">
        <v>225.37</v>
      </c>
    </row>
    <row r="176" spans="1:9" ht="15.75" customHeight="1" x14ac:dyDescent="0.3">
      <c r="A176" s="2" t="s">
        <v>65</v>
      </c>
      <c r="B176" s="2" t="s">
        <v>47</v>
      </c>
      <c r="C176" s="2" t="s">
        <v>34</v>
      </c>
      <c r="D176" s="2" t="s">
        <v>39</v>
      </c>
      <c r="E176" s="2">
        <v>1618.22</v>
      </c>
      <c r="F176" s="2">
        <v>12</v>
      </c>
      <c r="G176" s="2">
        <v>0.2</v>
      </c>
      <c r="H176" s="3">
        <v>45712</v>
      </c>
      <c r="I176" s="2">
        <v>582.55999999999995</v>
      </c>
    </row>
    <row r="177" spans="1:9" ht="15.75" customHeight="1" x14ac:dyDescent="0.3">
      <c r="A177" s="2" t="s">
        <v>73</v>
      </c>
      <c r="B177" s="2" t="s">
        <v>53</v>
      </c>
      <c r="C177" s="2" t="s">
        <v>34</v>
      </c>
      <c r="D177" s="2" t="s">
        <v>12</v>
      </c>
      <c r="E177" s="2">
        <v>1014.43</v>
      </c>
      <c r="F177" s="2">
        <v>2</v>
      </c>
      <c r="G177" s="2">
        <v>0.15</v>
      </c>
      <c r="H177" s="3">
        <v>45713</v>
      </c>
      <c r="I177" s="2">
        <v>344.91</v>
      </c>
    </row>
    <row r="178" spans="1:9" ht="15.75" customHeight="1" x14ac:dyDescent="0.3">
      <c r="A178" s="2" t="s">
        <v>75</v>
      </c>
      <c r="B178" s="2" t="s">
        <v>31</v>
      </c>
      <c r="C178" s="2" t="s">
        <v>34</v>
      </c>
      <c r="D178" s="2" t="s">
        <v>15</v>
      </c>
      <c r="E178" s="2">
        <v>826.97</v>
      </c>
      <c r="F178" s="2">
        <v>18</v>
      </c>
      <c r="G178" s="2">
        <v>0.2</v>
      </c>
      <c r="H178" s="3">
        <v>45715</v>
      </c>
      <c r="I178" s="2">
        <v>330.79</v>
      </c>
    </row>
    <row r="179" spans="1:9" ht="15.75" customHeight="1" x14ac:dyDescent="0.3">
      <c r="A179" s="2" t="s">
        <v>16</v>
      </c>
      <c r="B179" s="2" t="s">
        <v>31</v>
      </c>
      <c r="C179" s="2" t="s">
        <v>34</v>
      </c>
      <c r="D179" s="2" t="s">
        <v>15</v>
      </c>
      <c r="E179" s="2">
        <v>1022.23</v>
      </c>
      <c r="F179" s="2">
        <v>8</v>
      </c>
      <c r="G179" s="2">
        <v>0.1</v>
      </c>
      <c r="H179" s="3">
        <v>45717</v>
      </c>
      <c r="I179" s="2">
        <v>460</v>
      </c>
    </row>
    <row r="180" spans="1:9" ht="15.75" customHeight="1" x14ac:dyDescent="0.3">
      <c r="A180" s="2" t="s">
        <v>72</v>
      </c>
      <c r="B180" s="2" t="s">
        <v>29</v>
      </c>
      <c r="C180" s="2" t="s">
        <v>18</v>
      </c>
      <c r="D180" s="2" t="s">
        <v>12</v>
      </c>
      <c r="E180" s="2">
        <v>1099.69</v>
      </c>
      <c r="F180" s="2">
        <v>6</v>
      </c>
      <c r="G180" s="2">
        <v>0</v>
      </c>
      <c r="H180" s="3">
        <v>45718</v>
      </c>
      <c r="I180" s="2">
        <v>439.88</v>
      </c>
    </row>
    <row r="181" spans="1:9" ht="15.75" customHeight="1" x14ac:dyDescent="0.3">
      <c r="A181" s="2" t="s">
        <v>52</v>
      </c>
      <c r="B181" s="2" t="s">
        <v>64</v>
      </c>
      <c r="C181" s="2" t="s">
        <v>24</v>
      </c>
      <c r="D181" s="2" t="s">
        <v>12</v>
      </c>
      <c r="E181" s="2">
        <v>710.52</v>
      </c>
      <c r="F181" s="2">
        <v>8</v>
      </c>
      <c r="G181" s="2">
        <v>0.1</v>
      </c>
      <c r="H181" s="3">
        <v>45721</v>
      </c>
      <c r="I181" s="2">
        <v>255.79</v>
      </c>
    </row>
    <row r="182" spans="1:9" ht="15.75" customHeight="1" x14ac:dyDescent="0.3">
      <c r="A182" s="2" t="s">
        <v>52</v>
      </c>
      <c r="B182" s="2" t="s">
        <v>59</v>
      </c>
      <c r="C182" s="2" t="s">
        <v>24</v>
      </c>
      <c r="D182" s="2" t="s">
        <v>12</v>
      </c>
      <c r="E182" s="2">
        <v>499.18</v>
      </c>
      <c r="F182" s="2">
        <v>15</v>
      </c>
      <c r="G182" s="2">
        <v>0.2</v>
      </c>
      <c r="H182" s="3">
        <v>45724</v>
      </c>
      <c r="I182" s="2">
        <v>159.74</v>
      </c>
    </row>
    <row r="183" spans="1:9" ht="15.75" customHeight="1" x14ac:dyDescent="0.3">
      <c r="A183" s="2" t="s">
        <v>37</v>
      </c>
      <c r="B183" s="2" t="s">
        <v>38</v>
      </c>
      <c r="C183" s="2" t="s">
        <v>20</v>
      </c>
      <c r="D183" s="2" t="s">
        <v>12</v>
      </c>
      <c r="E183" s="2">
        <v>1064.19</v>
      </c>
      <c r="F183" s="2">
        <v>18</v>
      </c>
      <c r="G183" s="2">
        <v>0.05</v>
      </c>
      <c r="H183" s="3">
        <v>45725</v>
      </c>
      <c r="I183" s="2">
        <v>404.39</v>
      </c>
    </row>
    <row r="184" spans="1:9" ht="15.75" customHeight="1" x14ac:dyDescent="0.3">
      <c r="A184" s="2" t="s">
        <v>67</v>
      </c>
      <c r="B184" s="2" t="s">
        <v>38</v>
      </c>
      <c r="C184" s="2" t="s">
        <v>18</v>
      </c>
      <c r="D184" s="2" t="s">
        <v>39</v>
      </c>
      <c r="E184" s="2">
        <v>438.76</v>
      </c>
      <c r="F184" s="2">
        <v>18</v>
      </c>
      <c r="G184" s="2">
        <v>0.05</v>
      </c>
      <c r="H184" s="3">
        <v>45726</v>
      </c>
      <c r="I184" s="2">
        <v>187.57</v>
      </c>
    </row>
    <row r="185" spans="1:9" ht="15.75" customHeight="1" x14ac:dyDescent="0.3">
      <c r="A185" s="2" t="s">
        <v>41</v>
      </c>
      <c r="B185" s="2" t="s">
        <v>55</v>
      </c>
      <c r="C185" s="2" t="s">
        <v>11</v>
      </c>
      <c r="D185" s="2" t="s">
        <v>15</v>
      </c>
      <c r="E185" s="2">
        <v>864.98</v>
      </c>
      <c r="F185" s="2">
        <v>2</v>
      </c>
      <c r="G185" s="2">
        <v>0.05</v>
      </c>
      <c r="H185" s="3">
        <v>45727</v>
      </c>
      <c r="I185" s="2">
        <v>410.87</v>
      </c>
    </row>
    <row r="186" spans="1:9" ht="15.75" customHeight="1" x14ac:dyDescent="0.3">
      <c r="A186" s="2" t="s">
        <v>57</v>
      </c>
      <c r="B186" s="2" t="s">
        <v>55</v>
      </c>
      <c r="C186" s="2" t="s">
        <v>11</v>
      </c>
      <c r="D186" s="2" t="s">
        <v>27</v>
      </c>
      <c r="E186" s="2">
        <v>984.93</v>
      </c>
      <c r="F186" s="2">
        <v>14</v>
      </c>
      <c r="G186" s="2">
        <v>0.2</v>
      </c>
      <c r="H186" s="3">
        <v>45733</v>
      </c>
      <c r="I186" s="2">
        <v>275.77999999999997</v>
      </c>
    </row>
    <row r="187" spans="1:9" ht="15.75" customHeight="1" x14ac:dyDescent="0.3">
      <c r="A187" s="2" t="s">
        <v>25</v>
      </c>
      <c r="B187" s="2" t="s">
        <v>55</v>
      </c>
      <c r="C187" s="2" t="s">
        <v>11</v>
      </c>
      <c r="D187" s="2" t="s">
        <v>15</v>
      </c>
      <c r="E187" s="2">
        <v>1493.49</v>
      </c>
      <c r="F187" s="2">
        <v>18</v>
      </c>
      <c r="G187" s="2">
        <v>0</v>
      </c>
      <c r="H187" s="3">
        <v>45734</v>
      </c>
      <c r="I187" s="2">
        <v>746.74</v>
      </c>
    </row>
    <row r="188" spans="1:9" ht="15.75" customHeight="1" x14ac:dyDescent="0.3">
      <c r="A188" s="2" t="s">
        <v>32</v>
      </c>
      <c r="B188" s="2" t="s">
        <v>53</v>
      </c>
      <c r="C188" s="2" t="s">
        <v>20</v>
      </c>
      <c r="D188" s="2" t="s">
        <v>15</v>
      </c>
      <c r="E188" s="2">
        <v>689.43</v>
      </c>
      <c r="F188" s="2">
        <v>9</v>
      </c>
      <c r="G188" s="2">
        <v>0.1</v>
      </c>
      <c r="H188" s="3">
        <v>45736</v>
      </c>
      <c r="I188" s="2">
        <v>310.24</v>
      </c>
    </row>
    <row r="189" spans="1:9" ht="15.75" customHeight="1" x14ac:dyDescent="0.3">
      <c r="A189" s="2" t="s">
        <v>40</v>
      </c>
      <c r="B189" s="2" t="s">
        <v>59</v>
      </c>
      <c r="C189" s="2" t="s">
        <v>20</v>
      </c>
      <c r="D189" s="2" t="s">
        <v>15</v>
      </c>
      <c r="E189" s="2">
        <v>682.24</v>
      </c>
      <c r="F189" s="2">
        <v>1</v>
      </c>
      <c r="G189" s="2">
        <v>0</v>
      </c>
      <c r="H189" s="3">
        <v>45738</v>
      </c>
      <c r="I189" s="2">
        <v>341.12</v>
      </c>
    </row>
    <row r="190" spans="1:9" ht="15.75" customHeight="1" x14ac:dyDescent="0.3">
      <c r="A190" s="2" t="s">
        <v>41</v>
      </c>
      <c r="B190" s="2" t="s">
        <v>26</v>
      </c>
      <c r="C190" s="2" t="s">
        <v>24</v>
      </c>
      <c r="D190" s="2" t="s">
        <v>21</v>
      </c>
      <c r="E190" s="2">
        <v>458.54</v>
      </c>
      <c r="F190" s="2">
        <v>15</v>
      </c>
      <c r="G190" s="2">
        <v>0.2</v>
      </c>
      <c r="H190" s="3">
        <v>45741</v>
      </c>
      <c r="I190" s="2">
        <v>91.71</v>
      </c>
    </row>
    <row r="191" spans="1:9" ht="15.75" customHeight="1" x14ac:dyDescent="0.3">
      <c r="A191" s="2" t="s">
        <v>32</v>
      </c>
      <c r="B191" s="2" t="s">
        <v>26</v>
      </c>
      <c r="C191" s="2" t="s">
        <v>20</v>
      </c>
      <c r="D191" s="2" t="s">
        <v>27</v>
      </c>
      <c r="E191" s="2">
        <v>1184.25</v>
      </c>
      <c r="F191" s="2">
        <v>11</v>
      </c>
      <c r="G191" s="2">
        <v>0.2</v>
      </c>
      <c r="H191" s="3">
        <v>45742</v>
      </c>
      <c r="I191" s="2">
        <v>331.59</v>
      </c>
    </row>
    <row r="192" spans="1:9" ht="15.75" customHeight="1" x14ac:dyDescent="0.3">
      <c r="A192" s="2" t="s">
        <v>25</v>
      </c>
      <c r="B192" s="2" t="s">
        <v>10</v>
      </c>
      <c r="C192" s="2" t="s">
        <v>20</v>
      </c>
      <c r="D192" s="2" t="s">
        <v>15</v>
      </c>
      <c r="E192" s="2">
        <v>762.14</v>
      </c>
      <c r="F192" s="2">
        <v>9</v>
      </c>
      <c r="G192" s="2">
        <v>0</v>
      </c>
      <c r="H192" s="3">
        <v>45743</v>
      </c>
      <c r="I192" s="2">
        <v>381.07</v>
      </c>
    </row>
    <row r="193" spans="1:9" ht="15.75" customHeight="1" x14ac:dyDescent="0.3">
      <c r="A193" s="2" t="s">
        <v>22</v>
      </c>
      <c r="B193" s="2" t="s">
        <v>53</v>
      </c>
      <c r="C193" s="2" t="s">
        <v>24</v>
      </c>
      <c r="D193" s="2" t="s">
        <v>12</v>
      </c>
      <c r="E193" s="2">
        <v>750.71</v>
      </c>
      <c r="F193" s="2">
        <v>10</v>
      </c>
      <c r="G193" s="2">
        <v>0.15</v>
      </c>
      <c r="H193" s="3">
        <v>45743</v>
      </c>
      <c r="I193" s="2">
        <v>255.24</v>
      </c>
    </row>
    <row r="194" spans="1:9" ht="15.75" customHeight="1" x14ac:dyDescent="0.3">
      <c r="A194" s="2" t="s">
        <v>75</v>
      </c>
      <c r="B194" s="2" t="s">
        <v>71</v>
      </c>
      <c r="C194" s="2" t="s">
        <v>34</v>
      </c>
      <c r="D194" s="2" t="s">
        <v>15</v>
      </c>
      <c r="E194" s="2">
        <v>1456.94</v>
      </c>
      <c r="F194" s="2">
        <v>14</v>
      </c>
      <c r="G194" s="2">
        <v>0.05</v>
      </c>
      <c r="H194" s="3">
        <v>45745</v>
      </c>
      <c r="I194" s="2">
        <v>692.05</v>
      </c>
    </row>
    <row r="195" spans="1:9" ht="15.75" customHeight="1" x14ac:dyDescent="0.3">
      <c r="A195" s="2" t="s">
        <v>44</v>
      </c>
      <c r="B195" s="2" t="s">
        <v>61</v>
      </c>
      <c r="C195" s="2" t="s">
        <v>18</v>
      </c>
      <c r="D195" s="2" t="s">
        <v>27</v>
      </c>
      <c r="E195" s="2">
        <v>1093.3800000000001</v>
      </c>
      <c r="F195" s="2">
        <v>17</v>
      </c>
      <c r="G195" s="2">
        <v>0.1</v>
      </c>
      <c r="H195" s="3">
        <v>45745</v>
      </c>
      <c r="I195" s="2">
        <v>344.41</v>
      </c>
    </row>
    <row r="196" spans="1:9" ht="15.75" customHeight="1" x14ac:dyDescent="0.3">
      <c r="A196" s="2" t="s">
        <v>37</v>
      </c>
      <c r="B196" s="2" t="s">
        <v>43</v>
      </c>
      <c r="C196" s="2" t="s">
        <v>11</v>
      </c>
      <c r="D196" s="2" t="s">
        <v>15</v>
      </c>
      <c r="E196" s="2">
        <v>934.27</v>
      </c>
      <c r="F196" s="2">
        <v>8</v>
      </c>
      <c r="G196" s="2">
        <v>0.15</v>
      </c>
      <c r="H196" s="3">
        <v>45746</v>
      </c>
      <c r="I196" s="2">
        <v>397.06</v>
      </c>
    </row>
    <row r="197" spans="1:9" ht="15.75" customHeight="1" x14ac:dyDescent="0.3">
      <c r="A197" s="2" t="s">
        <v>70</v>
      </c>
      <c r="B197" s="2" t="s">
        <v>36</v>
      </c>
      <c r="C197" s="2" t="s">
        <v>34</v>
      </c>
      <c r="D197" s="2" t="s">
        <v>15</v>
      </c>
      <c r="E197" s="2">
        <v>1465.35</v>
      </c>
      <c r="F197" s="2">
        <v>8</v>
      </c>
      <c r="G197" s="2">
        <v>0.2</v>
      </c>
      <c r="H197" s="3">
        <v>45746</v>
      </c>
      <c r="I197" s="2">
        <v>586.14</v>
      </c>
    </row>
    <row r="198" spans="1:9" ht="15.75" customHeight="1" x14ac:dyDescent="0.3">
      <c r="A198" s="2" t="s">
        <v>52</v>
      </c>
      <c r="B198" s="2" t="s">
        <v>14</v>
      </c>
      <c r="C198" s="2" t="s">
        <v>20</v>
      </c>
      <c r="D198" s="2" t="s">
        <v>39</v>
      </c>
      <c r="E198" s="2">
        <v>740.8</v>
      </c>
      <c r="F198" s="2">
        <v>3</v>
      </c>
      <c r="G198" s="2">
        <v>0</v>
      </c>
      <c r="H198" s="3">
        <v>45749</v>
      </c>
      <c r="I198" s="2">
        <v>333.36</v>
      </c>
    </row>
    <row r="199" spans="1:9" ht="15.75" customHeight="1" x14ac:dyDescent="0.3">
      <c r="A199" s="2" t="s">
        <v>58</v>
      </c>
      <c r="B199" s="2" t="s">
        <v>43</v>
      </c>
      <c r="C199" s="2" t="s">
        <v>11</v>
      </c>
      <c r="D199" s="2" t="s">
        <v>39</v>
      </c>
      <c r="E199" s="2">
        <v>545.44000000000005</v>
      </c>
      <c r="F199" s="2">
        <v>17</v>
      </c>
      <c r="G199" s="2">
        <v>0</v>
      </c>
      <c r="H199" s="3">
        <v>45752</v>
      </c>
      <c r="I199" s="2">
        <v>245.45</v>
      </c>
    </row>
    <row r="200" spans="1:9" ht="15.75" customHeight="1" x14ac:dyDescent="0.3">
      <c r="A200" s="2" t="s">
        <v>35</v>
      </c>
      <c r="B200" s="2" t="s">
        <v>36</v>
      </c>
      <c r="C200" s="2" t="s">
        <v>18</v>
      </c>
      <c r="D200" s="2" t="s">
        <v>12</v>
      </c>
      <c r="E200" s="2">
        <v>997.61</v>
      </c>
      <c r="F200" s="2">
        <v>8</v>
      </c>
      <c r="G200" s="2">
        <v>0.05</v>
      </c>
      <c r="H200" s="3">
        <v>45752</v>
      </c>
      <c r="I200" s="2">
        <v>379.09</v>
      </c>
    </row>
    <row r="201" spans="1:9" ht="15.75" customHeight="1" x14ac:dyDescent="0.3">
      <c r="A201" s="2" t="s">
        <v>60</v>
      </c>
      <c r="B201" s="2" t="s">
        <v>36</v>
      </c>
      <c r="C201" s="2" t="s">
        <v>20</v>
      </c>
      <c r="D201" s="2" t="s">
        <v>15</v>
      </c>
      <c r="E201" s="2">
        <v>928.32</v>
      </c>
      <c r="F201" s="2">
        <v>2</v>
      </c>
      <c r="G201" s="2">
        <v>0.05</v>
      </c>
      <c r="H201" s="3">
        <v>45754</v>
      </c>
      <c r="I201" s="2">
        <v>440.95</v>
      </c>
    </row>
    <row r="202" spans="1:9" ht="15.75" customHeight="1" x14ac:dyDescent="0.3"/>
    <row r="203" spans="1:9" ht="15.75" customHeight="1" x14ac:dyDescent="0.3"/>
    <row r="204" spans="1:9" ht="15.75" customHeight="1" x14ac:dyDescent="0.3"/>
    <row r="205" spans="1:9" ht="15.75" customHeight="1" x14ac:dyDescent="0.3"/>
    <row r="206" spans="1:9" ht="15.75" customHeight="1" x14ac:dyDescent="0.3"/>
    <row r="207" spans="1:9" ht="15.75" customHeight="1" x14ac:dyDescent="0.3"/>
    <row r="208" spans="1: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6A50-5E30-458F-8142-61DFF78FB7DD}">
  <dimension ref="A1:Z1000"/>
  <sheetViews>
    <sheetView workbookViewId="0">
      <selection activeCell="K1" sqref="K1"/>
    </sheetView>
  </sheetViews>
  <sheetFormatPr defaultColWidth="14.44140625" defaultRowHeight="15" customHeight="1" x14ac:dyDescent="0.3"/>
  <cols>
    <col min="1" max="1" width="13.77734375" customWidth="1"/>
    <col min="2" max="2" width="17" customWidth="1"/>
    <col min="3" max="3" width="8.6640625" customWidth="1"/>
    <col min="4" max="4" width="18.109375" customWidth="1"/>
    <col min="5" max="5" width="8" customWidth="1"/>
    <col min="6" max="7" width="10.21875" customWidth="1"/>
    <col min="8" max="8" width="12.5546875" customWidth="1"/>
    <col min="9" max="9" width="7.5546875" customWidth="1"/>
    <col min="10" max="10" width="22.21875" bestFit="1" customWidth="1"/>
    <col min="11" max="11" width="11.88671875" bestFit="1" customWidth="1"/>
    <col min="12" max="12" width="8.88671875" bestFit="1" customWidth="1"/>
    <col min="13" max="13" width="12.109375" bestFit="1" customWidth="1"/>
    <col min="14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1036.0899999999999</v>
      </c>
      <c r="F2" s="2">
        <v>4</v>
      </c>
      <c r="G2" s="2">
        <v>0.2</v>
      </c>
      <c r="H2" s="3">
        <v>45392</v>
      </c>
      <c r="I2" s="2">
        <v>331.55</v>
      </c>
    </row>
    <row r="3" spans="1:26" ht="14.4" x14ac:dyDescent="0.3">
      <c r="A3" s="2" t="s">
        <v>13</v>
      </c>
      <c r="B3" s="2" t="s">
        <v>14</v>
      </c>
      <c r="C3" s="2" t="s">
        <v>11</v>
      </c>
      <c r="D3" s="2" t="s">
        <v>15</v>
      </c>
      <c r="E3" s="2">
        <v>1101.28</v>
      </c>
      <c r="F3" s="2">
        <v>3</v>
      </c>
      <c r="G3" s="2">
        <v>0.2</v>
      </c>
      <c r="H3" s="3">
        <v>45393</v>
      </c>
      <c r="I3" s="2">
        <v>440.51</v>
      </c>
    </row>
    <row r="4" spans="1:26" ht="14.4" x14ac:dyDescent="0.3">
      <c r="A4" s="2" t="s">
        <v>16</v>
      </c>
      <c r="B4" s="2" t="s">
        <v>17</v>
      </c>
      <c r="C4" s="2" t="s">
        <v>18</v>
      </c>
      <c r="D4" s="2" t="s">
        <v>12</v>
      </c>
      <c r="E4" s="2">
        <v>713.34</v>
      </c>
      <c r="F4" s="2">
        <v>17</v>
      </c>
      <c r="G4" s="2">
        <v>0</v>
      </c>
      <c r="H4" s="3">
        <v>45396</v>
      </c>
      <c r="I4" s="2">
        <v>285.33999999999997</v>
      </c>
    </row>
    <row r="5" spans="1:26" ht="14.4" x14ac:dyDescent="0.3">
      <c r="A5" s="2" t="s">
        <v>19</v>
      </c>
      <c r="B5" s="2" t="s">
        <v>14</v>
      </c>
      <c r="C5" s="2" t="s">
        <v>20</v>
      </c>
      <c r="D5" s="2" t="s">
        <v>21</v>
      </c>
      <c r="E5" s="2">
        <v>760.93</v>
      </c>
      <c r="F5" s="2">
        <v>4</v>
      </c>
      <c r="G5" s="2">
        <v>0.15</v>
      </c>
      <c r="H5" s="3">
        <v>45396</v>
      </c>
      <c r="I5" s="2">
        <v>161.69999999999999</v>
      </c>
    </row>
    <row r="6" spans="1:26" ht="14.4" x14ac:dyDescent="0.3">
      <c r="A6" s="2" t="s">
        <v>22</v>
      </c>
      <c r="B6" s="2" t="s">
        <v>23</v>
      </c>
      <c r="C6" s="2" t="s">
        <v>24</v>
      </c>
      <c r="D6" s="2" t="s">
        <v>12</v>
      </c>
      <c r="E6" s="2">
        <v>847</v>
      </c>
      <c r="F6" s="2">
        <v>12</v>
      </c>
      <c r="G6" s="2">
        <v>0.2</v>
      </c>
      <c r="H6" s="3">
        <v>45397</v>
      </c>
      <c r="I6" s="2">
        <v>271.04000000000002</v>
      </c>
    </row>
    <row r="7" spans="1:26" ht="14.4" x14ac:dyDescent="0.3">
      <c r="A7" s="2" t="s">
        <v>25</v>
      </c>
      <c r="B7" s="2" t="s">
        <v>26</v>
      </c>
      <c r="C7" s="2" t="s">
        <v>24</v>
      </c>
      <c r="D7" s="2" t="s">
        <v>27</v>
      </c>
      <c r="E7" s="2">
        <v>965.64</v>
      </c>
      <c r="F7" s="2">
        <v>8</v>
      </c>
      <c r="G7" s="2">
        <v>0.1</v>
      </c>
      <c r="H7" s="3">
        <v>45398</v>
      </c>
      <c r="I7" s="2">
        <v>304.18</v>
      </c>
    </row>
    <row r="8" spans="1:26" ht="14.4" x14ac:dyDescent="0.3">
      <c r="A8" s="2" t="s">
        <v>28</v>
      </c>
      <c r="B8" s="2" t="s">
        <v>29</v>
      </c>
      <c r="C8" s="2" t="s">
        <v>11</v>
      </c>
      <c r="D8" s="2" t="s">
        <v>21</v>
      </c>
      <c r="E8" s="2">
        <v>1317.53</v>
      </c>
      <c r="F8" s="2">
        <v>12</v>
      </c>
      <c r="G8" s="2">
        <v>0.05</v>
      </c>
      <c r="H8" s="3">
        <v>45398</v>
      </c>
      <c r="I8" s="2">
        <v>312.91000000000003</v>
      </c>
    </row>
    <row r="9" spans="1:26" ht="14.4" x14ac:dyDescent="0.3">
      <c r="A9" s="2" t="s">
        <v>30</v>
      </c>
      <c r="B9" s="2" t="s">
        <v>31</v>
      </c>
      <c r="C9" s="2" t="s">
        <v>18</v>
      </c>
      <c r="D9" s="2" t="s">
        <v>27</v>
      </c>
      <c r="E9" s="2">
        <v>1074.47</v>
      </c>
      <c r="F9" s="2">
        <v>6</v>
      </c>
      <c r="G9" s="2">
        <v>0.2</v>
      </c>
      <c r="H9" s="3">
        <v>45401</v>
      </c>
      <c r="I9" s="2">
        <v>300.85000000000002</v>
      </c>
    </row>
    <row r="10" spans="1:26" ht="14.4" x14ac:dyDescent="0.3">
      <c r="A10" s="2" t="s">
        <v>32</v>
      </c>
      <c r="B10" s="2" t="s">
        <v>33</v>
      </c>
      <c r="C10" s="2" t="s">
        <v>34</v>
      </c>
      <c r="D10" s="2" t="s">
        <v>12</v>
      </c>
      <c r="E10" s="2">
        <v>501.54</v>
      </c>
      <c r="F10" s="2">
        <v>11</v>
      </c>
      <c r="G10" s="2">
        <v>0.05</v>
      </c>
      <c r="H10" s="3">
        <v>45401</v>
      </c>
      <c r="I10" s="2">
        <v>190.59</v>
      </c>
    </row>
    <row r="11" spans="1:26" ht="14.4" x14ac:dyDescent="0.3">
      <c r="A11" s="2" t="s">
        <v>35</v>
      </c>
      <c r="B11" s="2" t="s">
        <v>36</v>
      </c>
      <c r="C11" s="2" t="s">
        <v>34</v>
      </c>
      <c r="D11" s="2" t="s">
        <v>15</v>
      </c>
      <c r="E11" s="2">
        <v>737.31</v>
      </c>
      <c r="F11" s="2">
        <v>2</v>
      </c>
      <c r="G11" s="2">
        <v>0.05</v>
      </c>
      <c r="H11" s="3">
        <v>45401</v>
      </c>
      <c r="I11" s="2">
        <v>350.22</v>
      </c>
    </row>
    <row r="12" spans="1:26" ht="14.4" x14ac:dyDescent="0.3">
      <c r="A12" s="2" t="s">
        <v>37</v>
      </c>
      <c r="B12" s="2" t="s">
        <v>38</v>
      </c>
      <c r="C12" s="2" t="s">
        <v>11</v>
      </c>
      <c r="D12" s="2" t="s">
        <v>39</v>
      </c>
      <c r="E12" s="2">
        <v>1572.82</v>
      </c>
      <c r="F12" s="2">
        <v>6</v>
      </c>
      <c r="G12" s="2">
        <v>0.05</v>
      </c>
      <c r="H12" s="3">
        <v>45402</v>
      </c>
      <c r="I12" s="2">
        <v>672.38</v>
      </c>
    </row>
    <row r="13" spans="1:26" ht="14.4" x14ac:dyDescent="0.3">
      <c r="A13" s="2" t="s">
        <v>37</v>
      </c>
      <c r="B13" s="2" t="s">
        <v>36</v>
      </c>
      <c r="C13" s="2" t="s">
        <v>34</v>
      </c>
      <c r="D13" s="2" t="s">
        <v>12</v>
      </c>
      <c r="E13" s="2">
        <v>1343.13</v>
      </c>
      <c r="F13" s="2">
        <v>14</v>
      </c>
      <c r="G13" s="2">
        <v>0.15</v>
      </c>
      <c r="H13" s="3">
        <v>45404</v>
      </c>
      <c r="I13" s="2">
        <v>456.66</v>
      </c>
    </row>
    <row r="14" spans="1:26" ht="14.4" x14ac:dyDescent="0.3">
      <c r="A14" s="2" t="s">
        <v>25</v>
      </c>
      <c r="B14" s="2" t="s">
        <v>26</v>
      </c>
      <c r="C14" s="2" t="s">
        <v>34</v>
      </c>
      <c r="D14" s="2" t="s">
        <v>12</v>
      </c>
      <c r="E14" s="2">
        <v>1191.58</v>
      </c>
      <c r="F14" s="2">
        <v>14</v>
      </c>
      <c r="G14" s="2">
        <v>0.05</v>
      </c>
      <c r="H14" s="3">
        <v>45406</v>
      </c>
      <c r="I14" s="2">
        <v>452.8</v>
      </c>
    </row>
    <row r="15" spans="1:26" ht="14.4" x14ac:dyDescent="0.3">
      <c r="A15" s="2" t="s">
        <v>40</v>
      </c>
      <c r="B15" s="2" t="s">
        <v>14</v>
      </c>
      <c r="C15" s="2" t="s">
        <v>11</v>
      </c>
      <c r="D15" s="2" t="s">
        <v>27</v>
      </c>
      <c r="E15" s="2">
        <v>822.28</v>
      </c>
      <c r="F15" s="2">
        <v>7</v>
      </c>
      <c r="G15" s="2">
        <v>0.05</v>
      </c>
      <c r="H15" s="3">
        <v>45406</v>
      </c>
      <c r="I15" s="2">
        <v>273.41000000000003</v>
      </c>
    </row>
    <row r="16" spans="1:26" ht="14.4" x14ac:dyDescent="0.3">
      <c r="A16" s="2" t="s">
        <v>41</v>
      </c>
      <c r="B16" s="2" t="s">
        <v>42</v>
      </c>
      <c r="C16" s="2" t="s">
        <v>24</v>
      </c>
      <c r="D16" s="2" t="s">
        <v>27</v>
      </c>
      <c r="E16" s="2">
        <v>521.66999999999996</v>
      </c>
      <c r="F16" s="2">
        <v>15</v>
      </c>
      <c r="G16" s="2">
        <v>0.15</v>
      </c>
      <c r="H16" s="3">
        <v>45409</v>
      </c>
      <c r="I16" s="2">
        <v>155.19999999999999</v>
      </c>
    </row>
    <row r="17" spans="1:9" ht="14.4" x14ac:dyDescent="0.3">
      <c r="A17" s="2" t="s">
        <v>19</v>
      </c>
      <c r="B17" s="2" t="s">
        <v>43</v>
      </c>
      <c r="C17" s="2" t="s">
        <v>20</v>
      </c>
      <c r="D17" s="2" t="s">
        <v>21</v>
      </c>
      <c r="E17" s="2">
        <v>1502.93</v>
      </c>
      <c r="F17" s="2">
        <v>14</v>
      </c>
      <c r="G17" s="2">
        <v>0.2</v>
      </c>
      <c r="H17" s="3">
        <v>45410</v>
      </c>
      <c r="I17" s="2">
        <v>300.58999999999997</v>
      </c>
    </row>
    <row r="18" spans="1:9" ht="14.4" x14ac:dyDescent="0.3">
      <c r="A18" s="2" t="s">
        <v>44</v>
      </c>
      <c r="B18" s="2" t="s">
        <v>14</v>
      </c>
      <c r="C18" s="2" t="s">
        <v>20</v>
      </c>
      <c r="D18" s="2" t="s">
        <v>12</v>
      </c>
      <c r="E18" s="2">
        <v>877.58</v>
      </c>
      <c r="F18" s="2">
        <v>10</v>
      </c>
      <c r="G18" s="2">
        <v>0.15</v>
      </c>
      <c r="H18" s="3">
        <v>45411</v>
      </c>
      <c r="I18" s="2">
        <v>298.38</v>
      </c>
    </row>
    <row r="19" spans="1:9" ht="14.4" x14ac:dyDescent="0.3">
      <c r="A19" s="2" t="s">
        <v>28</v>
      </c>
      <c r="B19" s="2" t="s">
        <v>45</v>
      </c>
      <c r="C19" s="2" t="s">
        <v>11</v>
      </c>
      <c r="D19" s="2" t="s">
        <v>12</v>
      </c>
      <c r="E19" s="2">
        <v>636.70000000000005</v>
      </c>
      <c r="F19" s="2">
        <v>4</v>
      </c>
      <c r="G19" s="2">
        <v>0.2</v>
      </c>
      <c r="H19" s="3">
        <v>45411</v>
      </c>
      <c r="I19" s="2">
        <v>203.74</v>
      </c>
    </row>
    <row r="20" spans="1:9" ht="14.4" x14ac:dyDescent="0.3">
      <c r="A20" s="2" t="s">
        <v>46</v>
      </c>
      <c r="B20" s="2" t="s">
        <v>47</v>
      </c>
      <c r="C20" s="2" t="s">
        <v>11</v>
      </c>
      <c r="D20" s="2" t="s">
        <v>12</v>
      </c>
      <c r="E20" s="2">
        <v>1506.14</v>
      </c>
      <c r="F20" s="2">
        <v>13</v>
      </c>
      <c r="G20" s="2">
        <v>0.2</v>
      </c>
      <c r="H20" s="3">
        <v>45412</v>
      </c>
      <c r="I20" s="2">
        <v>481.96</v>
      </c>
    </row>
    <row r="21" spans="1:9" ht="15.75" customHeight="1" x14ac:dyDescent="0.3">
      <c r="A21" s="2" t="s">
        <v>30</v>
      </c>
      <c r="B21" s="2" t="s">
        <v>31</v>
      </c>
      <c r="C21" s="2" t="s">
        <v>34</v>
      </c>
      <c r="D21" s="2" t="s">
        <v>21</v>
      </c>
      <c r="E21" s="2">
        <v>645.02</v>
      </c>
      <c r="F21" s="2">
        <v>4</v>
      </c>
      <c r="G21" s="2">
        <v>0</v>
      </c>
      <c r="H21" s="3">
        <v>45414</v>
      </c>
      <c r="I21" s="2">
        <v>161.26</v>
      </c>
    </row>
    <row r="22" spans="1:9" ht="15.75" customHeight="1" x14ac:dyDescent="0.3">
      <c r="A22" s="2" t="s">
        <v>25</v>
      </c>
      <c r="B22" s="2" t="s">
        <v>48</v>
      </c>
      <c r="C22" s="2" t="s">
        <v>20</v>
      </c>
      <c r="D22" s="2" t="s">
        <v>15</v>
      </c>
      <c r="E22" s="2">
        <v>953.3</v>
      </c>
      <c r="F22" s="2">
        <v>11</v>
      </c>
      <c r="G22" s="2">
        <v>0</v>
      </c>
      <c r="H22" s="3">
        <v>45415</v>
      </c>
      <c r="I22" s="2">
        <v>476.65</v>
      </c>
    </row>
    <row r="23" spans="1:9" ht="15.75" customHeight="1" x14ac:dyDescent="0.3">
      <c r="A23" s="2" t="s">
        <v>49</v>
      </c>
      <c r="B23" s="2" t="s">
        <v>14</v>
      </c>
      <c r="C23" s="2" t="s">
        <v>24</v>
      </c>
      <c r="D23" s="2" t="s">
        <v>21</v>
      </c>
      <c r="E23" s="2">
        <v>388.56</v>
      </c>
      <c r="F23" s="2">
        <v>14</v>
      </c>
      <c r="G23" s="2">
        <v>0.15</v>
      </c>
      <c r="H23" s="3">
        <v>45416</v>
      </c>
      <c r="I23" s="2">
        <v>82.57</v>
      </c>
    </row>
    <row r="24" spans="1:9" ht="15.75" customHeight="1" x14ac:dyDescent="0.3">
      <c r="A24" s="2" t="s">
        <v>9</v>
      </c>
      <c r="B24" s="2" t="s">
        <v>31</v>
      </c>
      <c r="C24" s="2" t="s">
        <v>11</v>
      </c>
      <c r="D24" s="2" t="s">
        <v>12</v>
      </c>
      <c r="E24" s="2">
        <v>743.17</v>
      </c>
      <c r="F24" s="2">
        <v>9</v>
      </c>
      <c r="G24" s="2">
        <v>0</v>
      </c>
      <c r="H24" s="3">
        <v>45416</v>
      </c>
      <c r="I24" s="2">
        <v>297.27</v>
      </c>
    </row>
    <row r="25" spans="1:9" ht="15.75" customHeight="1" x14ac:dyDescent="0.3">
      <c r="A25" s="2" t="s">
        <v>40</v>
      </c>
      <c r="B25" s="2" t="s">
        <v>31</v>
      </c>
      <c r="C25" s="2" t="s">
        <v>34</v>
      </c>
      <c r="D25" s="2" t="s">
        <v>21</v>
      </c>
      <c r="E25" s="2">
        <v>706.37</v>
      </c>
      <c r="F25" s="2">
        <v>6</v>
      </c>
      <c r="G25" s="2">
        <v>0</v>
      </c>
      <c r="H25" s="3">
        <v>45416</v>
      </c>
      <c r="I25" s="2">
        <v>176.59</v>
      </c>
    </row>
    <row r="26" spans="1:9" ht="15.75" customHeight="1" x14ac:dyDescent="0.3">
      <c r="A26" s="2" t="s">
        <v>13</v>
      </c>
      <c r="B26" s="2" t="s">
        <v>31</v>
      </c>
      <c r="C26" s="2" t="s">
        <v>34</v>
      </c>
      <c r="D26" s="2" t="s">
        <v>39</v>
      </c>
      <c r="E26" s="2">
        <v>925.31</v>
      </c>
      <c r="F26" s="2">
        <v>8</v>
      </c>
      <c r="G26" s="2">
        <v>0.1</v>
      </c>
      <c r="H26" s="3">
        <v>45418</v>
      </c>
      <c r="I26" s="2">
        <v>374.75</v>
      </c>
    </row>
    <row r="27" spans="1:9" ht="15.75" customHeight="1" x14ac:dyDescent="0.3">
      <c r="A27" s="2" t="s">
        <v>35</v>
      </c>
      <c r="B27" s="2" t="s">
        <v>50</v>
      </c>
      <c r="C27" s="2" t="s">
        <v>20</v>
      </c>
      <c r="D27" s="2" t="s">
        <v>21</v>
      </c>
      <c r="E27" s="2">
        <v>1173.1199999999999</v>
      </c>
      <c r="F27" s="2">
        <v>18</v>
      </c>
      <c r="G27" s="2">
        <v>0</v>
      </c>
      <c r="H27" s="3">
        <v>45418</v>
      </c>
      <c r="I27" s="2">
        <v>293.27999999999997</v>
      </c>
    </row>
    <row r="28" spans="1:9" ht="15.75" customHeight="1" x14ac:dyDescent="0.3">
      <c r="A28" s="2" t="s">
        <v>22</v>
      </c>
      <c r="B28" s="2" t="s">
        <v>51</v>
      </c>
      <c r="C28" s="2" t="s">
        <v>24</v>
      </c>
      <c r="D28" s="2" t="s">
        <v>27</v>
      </c>
      <c r="E28" s="2">
        <v>675.54</v>
      </c>
      <c r="F28" s="2">
        <v>17</v>
      </c>
      <c r="G28" s="2">
        <v>0</v>
      </c>
      <c r="H28" s="3">
        <v>45420</v>
      </c>
      <c r="I28" s="2">
        <v>236.44</v>
      </c>
    </row>
    <row r="29" spans="1:9" ht="15.75" customHeight="1" x14ac:dyDescent="0.3">
      <c r="A29" s="2" t="s">
        <v>25</v>
      </c>
      <c r="B29" s="2" t="s">
        <v>14</v>
      </c>
      <c r="C29" s="2" t="s">
        <v>34</v>
      </c>
      <c r="D29" s="2" t="s">
        <v>12</v>
      </c>
      <c r="E29" s="2">
        <v>939.09</v>
      </c>
      <c r="F29" s="2">
        <v>2</v>
      </c>
      <c r="G29" s="2">
        <v>0.05</v>
      </c>
      <c r="H29" s="3">
        <v>45422</v>
      </c>
      <c r="I29" s="2">
        <v>356.85</v>
      </c>
    </row>
    <row r="30" spans="1:9" ht="15.75" customHeight="1" x14ac:dyDescent="0.3">
      <c r="A30" s="2" t="s">
        <v>52</v>
      </c>
      <c r="B30" s="2" t="s">
        <v>53</v>
      </c>
      <c r="C30" s="2" t="s">
        <v>18</v>
      </c>
      <c r="D30" s="2" t="s">
        <v>39</v>
      </c>
      <c r="E30" s="2">
        <v>983.34</v>
      </c>
      <c r="F30" s="2">
        <v>19</v>
      </c>
      <c r="G30" s="2">
        <v>0.1</v>
      </c>
      <c r="H30" s="3">
        <v>45426</v>
      </c>
      <c r="I30" s="2">
        <v>398.25</v>
      </c>
    </row>
    <row r="31" spans="1:9" ht="15.75" customHeight="1" x14ac:dyDescent="0.3">
      <c r="A31" s="2" t="s">
        <v>52</v>
      </c>
      <c r="B31" s="2" t="s">
        <v>23</v>
      </c>
      <c r="C31" s="2" t="s">
        <v>20</v>
      </c>
      <c r="D31" s="2" t="s">
        <v>21</v>
      </c>
      <c r="E31" s="2">
        <v>801.21</v>
      </c>
      <c r="F31" s="2">
        <v>3</v>
      </c>
      <c r="G31" s="2">
        <v>0.2</v>
      </c>
      <c r="H31" s="3">
        <v>45426</v>
      </c>
      <c r="I31" s="2">
        <v>160.24</v>
      </c>
    </row>
    <row r="32" spans="1:9" ht="15.75" customHeight="1" x14ac:dyDescent="0.3">
      <c r="A32" s="2" t="s">
        <v>54</v>
      </c>
      <c r="B32" s="2" t="s">
        <v>55</v>
      </c>
      <c r="C32" s="2" t="s">
        <v>24</v>
      </c>
      <c r="D32" s="2" t="s">
        <v>21</v>
      </c>
      <c r="E32" s="2">
        <v>1450.71</v>
      </c>
      <c r="F32" s="2">
        <v>5</v>
      </c>
      <c r="G32" s="2">
        <v>0.1</v>
      </c>
      <c r="H32" s="3">
        <v>45427</v>
      </c>
      <c r="I32" s="2">
        <v>326.41000000000003</v>
      </c>
    </row>
    <row r="33" spans="1:9" ht="15.75" customHeight="1" x14ac:dyDescent="0.3">
      <c r="A33" s="2" t="s">
        <v>49</v>
      </c>
      <c r="B33" s="2" t="s">
        <v>56</v>
      </c>
      <c r="C33" s="2" t="s">
        <v>34</v>
      </c>
      <c r="D33" s="2" t="s">
        <v>12</v>
      </c>
      <c r="E33" s="2">
        <v>1023.21</v>
      </c>
      <c r="F33" s="2">
        <v>18</v>
      </c>
      <c r="G33" s="2">
        <v>0.05</v>
      </c>
      <c r="H33" s="3">
        <v>45428</v>
      </c>
      <c r="I33" s="2">
        <v>388.82</v>
      </c>
    </row>
    <row r="34" spans="1:9" ht="15.75" customHeight="1" x14ac:dyDescent="0.3">
      <c r="A34" s="2" t="s">
        <v>28</v>
      </c>
      <c r="B34" s="2" t="s">
        <v>47</v>
      </c>
      <c r="C34" s="2" t="s">
        <v>11</v>
      </c>
      <c r="D34" s="2" t="s">
        <v>27</v>
      </c>
      <c r="E34" s="2">
        <v>853.72</v>
      </c>
      <c r="F34" s="2">
        <v>5</v>
      </c>
      <c r="G34" s="2">
        <v>0.15</v>
      </c>
      <c r="H34" s="3">
        <v>45428</v>
      </c>
      <c r="I34" s="2">
        <v>253.98</v>
      </c>
    </row>
    <row r="35" spans="1:9" ht="15.75" customHeight="1" x14ac:dyDescent="0.3">
      <c r="A35" s="2" t="s">
        <v>57</v>
      </c>
      <c r="B35" s="2" t="s">
        <v>43</v>
      </c>
      <c r="C35" s="2" t="s">
        <v>20</v>
      </c>
      <c r="D35" s="2" t="s">
        <v>21</v>
      </c>
      <c r="E35" s="2">
        <v>967.89</v>
      </c>
      <c r="F35" s="2">
        <v>10</v>
      </c>
      <c r="G35" s="2">
        <v>0.1</v>
      </c>
      <c r="H35" s="3">
        <v>45429</v>
      </c>
      <c r="I35" s="2">
        <v>217.78</v>
      </c>
    </row>
    <row r="36" spans="1:9" ht="15.75" customHeight="1" x14ac:dyDescent="0.3">
      <c r="A36" s="2" t="s">
        <v>58</v>
      </c>
      <c r="B36" s="2" t="s">
        <v>53</v>
      </c>
      <c r="C36" s="2" t="s">
        <v>24</v>
      </c>
      <c r="D36" s="2" t="s">
        <v>39</v>
      </c>
      <c r="E36" s="2">
        <v>1200.9000000000001</v>
      </c>
      <c r="F36" s="2">
        <v>14</v>
      </c>
      <c r="G36" s="2">
        <v>0.05</v>
      </c>
      <c r="H36" s="3">
        <v>45429</v>
      </c>
      <c r="I36" s="2">
        <v>513.38</v>
      </c>
    </row>
    <row r="37" spans="1:9" ht="15.75" customHeight="1" x14ac:dyDescent="0.3">
      <c r="A37" s="2" t="s">
        <v>13</v>
      </c>
      <c r="B37" s="2" t="s">
        <v>26</v>
      </c>
      <c r="C37" s="2" t="s">
        <v>11</v>
      </c>
      <c r="D37" s="2" t="s">
        <v>12</v>
      </c>
      <c r="E37" s="2">
        <v>472.38</v>
      </c>
      <c r="F37" s="2">
        <v>12</v>
      </c>
      <c r="G37" s="2">
        <v>0.2</v>
      </c>
      <c r="H37" s="3">
        <v>45429</v>
      </c>
      <c r="I37" s="2">
        <v>151.16</v>
      </c>
    </row>
    <row r="38" spans="1:9" ht="15.75" customHeight="1" x14ac:dyDescent="0.3">
      <c r="A38" s="2" t="s">
        <v>9</v>
      </c>
      <c r="B38" s="2" t="s">
        <v>55</v>
      </c>
      <c r="C38" s="2" t="s">
        <v>18</v>
      </c>
      <c r="D38" s="2" t="s">
        <v>39</v>
      </c>
      <c r="E38" s="2">
        <v>840.92</v>
      </c>
      <c r="F38" s="2">
        <v>9</v>
      </c>
      <c r="G38" s="2">
        <v>0.05</v>
      </c>
      <c r="H38" s="3">
        <v>45429</v>
      </c>
      <c r="I38" s="2">
        <v>359.49</v>
      </c>
    </row>
    <row r="39" spans="1:9" ht="15.75" customHeight="1" x14ac:dyDescent="0.3">
      <c r="A39" s="2" t="s">
        <v>52</v>
      </c>
      <c r="B39" s="2" t="s">
        <v>48</v>
      </c>
      <c r="C39" s="2" t="s">
        <v>34</v>
      </c>
      <c r="D39" s="2" t="s">
        <v>27</v>
      </c>
      <c r="E39" s="2">
        <v>1410.06</v>
      </c>
      <c r="F39" s="2">
        <v>11</v>
      </c>
      <c r="G39" s="2">
        <v>0.05</v>
      </c>
      <c r="H39" s="3">
        <v>45434</v>
      </c>
      <c r="I39" s="2">
        <v>468.84</v>
      </c>
    </row>
    <row r="40" spans="1:9" ht="15.75" customHeight="1" x14ac:dyDescent="0.3">
      <c r="A40" s="2" t="s">
        <v>44</v>
      </c>
      <c r="B40" s="2" t="s">
        <v>59</v>
      </c>
      <c r="C40" s="2" t="s">
        <v>34</v>
      </c>
      <c r="D40" s="2" t="s">
        <v>27</v>
      </c>
      <c r="E40" s="2">
        <v>773.09</v>
      </c>
      <c r="F40" s="2">
        <v>13</v>
      </c>
      <c r="G40" s="2">
        <v>0.15</v>
      </c>
      <c r="H40" s="3">
        <v>45434</v>
      </c>
      <c r="I40" s="2">
        <v>229.99</v>
      </c>
    </row>
    <row r="41" spans="1:9" ht="15.75" customHeight="1" x14ac:dyDescent="0.3">
      <c r="A41" s="2" t="s">
        <v>60</v>
      </c>
      <c r="B41" s="2" t="s">
        <v>61</v>
      </c>
      <c r="C41" s="2" t="s">
        <v>18</v>
      </c>
      <c r="D41" s="2" t="s">
        <v>12</v>
      </c>
      <c r="E41" s="2">
        <v>580.42999999999995</v>
      </c>
      <c r="F41" s="2">
        <v>19</v>
      </c>
      <c r="G41" s="2">
        <v>0.15</v>
      </c>
      <c r="H41" s="3">
        <v>45435</v>
      </c>
      <c r="I41" s="2">
        <v>197.35</v>
      </c>
    </row>
    <row r="42" spans="1:9" ht="15.75" customHeight="1" x14ac:dyDescent="0.3">
      <c r="A42" s="2" t="s">
        <v>19</v>
      </c>
      <c r="B42" s="2" t="s">
        <v>42</v>
      </c>
      <c r="C42" s="2" t="s">
        <v>20</v>
      </c>
      <c r="D42" s="2" t="s">
        <v>12</v>
      </c>
      <c r="E42" s="2">
        <v>1151.21</v>
      </c>
      <c r="F42" s="2">
        <v>15</v>
      </c>
      <c r="G42" s="2">
        <v>0.1</v>
      </c>
      <c r="H42" s="3">
        <v>45445</v>
      </c>
      <c r="I42" s="2">
        <v>414.44</v>
      </c>
    </row>
    <row r="43" spans="1:9" ht="15.75" customHeight="1" x14ac:dyDescent="0.3">
      <c r="A43" s="2" t="s">
        <v>52</v>
      </c>
      <c r="B43" s="2" t="s">
        <v>23</v>
      </c>
      <c r="C43" s="2" t="s">
        <v>34</v>
      </c>
      <c r="D43" s="2" t="s">
        <v>39</v>
      </c>
      <c r="E43" s="2">
        <v>1025.98</v>
      </c>
      <c r="F43" s="2">
        <v>5</v>
      </c>
      <c r="G43" s="2">
        <v>0.2</v>
      </c>
      <c r="H43" s="3">
        <v>45447</v>
      </c>
      <c r="I43" s="2">
        <v>369.35</v>
      </c>
    </row>
    <row r="44" spans="1:9" ht="15.75" customHeight="1" x14ac:dyDescent="0.3">
      <c r="A44" s="2" t="s">
        <v>40</v>
      </c>
      <c r="B44" s="2" t="s">
        <v>56</v>
      </c>
      <c r="C44" s="2" t="s">
        <v>18</v>
      </c>
      <c r="D44" s="2" t="s">
        <v>39</v>
      </c>
      <c r="E44" s="2">
        <v>556.41999999999996</v>
      </c>
      <c r="F44" s="2">
        <v>11</v>
      </c>
      <c r="G44" s="2">
        <v>0.15</v>
      </c>
      <c r="H44" s="3">
        <v>45447</v>
      </c>
      <c r="I44" s="2">
        <v>212.83</v>
      </c>
    </row>
    <row r="45" spans="1:9" ht="15.75" customHeight="1" x14ac:dyDescent="0.3">
      <c r="A45" s="2" t="s">
        <v>57</v>
      </c>
      <c r="B45" s="2" t="s">
        <v>23</v>
      </c>
      <c r="C45" s="2" t="s">
        <v>34</v>
      </c>
      <c r="D45" s="2" t="s">
        <v>12</v>
      </c>
      <c r="E45" s="2">
        <v>840.85</v>
      </c>
      <c r="F45" s="2">
        <v>19</v>
      </c>
      <c r="G45" s="2">
        <v>0.1</v>
      </c>
      <c r="H45" s="3">
        <v>45448</v>
      </c>
      <c r="I45" s="2">
        <v>302.70999999999998</v>
      </c>
    </row>
    <row r="46" spans="1:9" ht="15.75" customHeight="1" x14ac:dyDescent="0.3">
      <c r="A46" s="2" t="s">
        <v>30</v>
      </c>
      <c r="B46" s="2" t="s">
        <v>61</v>
      </c>
      <c r="C46" s="2" t="s">
        <v>24</v>
      </c>
      <c r="D46" s="2" t="s">
        <v>27</v>
      </c>
      <c r="E46" s="2">
        <v>1227.25</v>
      </c>
      <c r="F46" s="2">
        <v>12</v>
      </c>
      <c r="G46" s="2">
        <v>0.15</v>
      </c>
      <c r="H46" s="3">
        <v>45448</v>
      </c>
      <c r="I46" s="2">
        <v>365.11</v>
      </c>
    </row>
    <row r="47" spans="1:9" ht="15.75" customHeight="1" x14ac:dyDescent="0.3">
      <c r="A47" s="2" t="s">
        <v>16</v>
      </c>
      <c r="B47" s="2" t="s">
        <v>62</v>
      </c>
      <c r="C47" s="2" t="s">
        <v>34</v>
      </c>
      <c r="D47" s="2" t="s">
        <v>21</v>
      </c>
      <c r="E47" s="2">
        <v>856.7</v>
      </c>
      <c r="F47" s="2">
        <v>2</v>
      </c>
      <c r="G47" s="2">
        <v>0</v>
      </c>
      <c r="H47" s="3">
        <v>45449</v>
      </c>
      <c r="I47" s="2">
        <v>214.18</v>
      </c>
    </row>
    <row r="48" spans="1:9" ht="15.75" customHeight="1" x14ac:dyDescent="0.3">
      <c r="A48" s="2" t="s">
        <v>54</v>
      </c>
      <c r="B48" s="2" t="s">
        <v>56</v>
      </c>
      <c r="C48" s="2" t="s">
        <v>34</v>
      </c>
      <c r="D48" s="2" t="s">
        <v>39</v>
      </c>
      <c r="E48" s="2">
        <v>1225.42</v>
      </c>
      <c r="F48" s="2">
        <v>8</v>
      </c>
      <c r="G48" s="2">
        <v>0.15</v>
      </c>
      <c r="H48" s="3">
        <v>45449</v>
      </c>
      <c r="I48" s="2">
        <v>468.72</v>
      </c>
    </row>
    <row r="49" spans="1:9" ht="15.75" customHeight="1" x14ac:dyDescent="0.3">
      <c r="A49" s="2" t="s">
        <v>63</v>
      </c>
      <c r="B49" s="2" t="s">
        <v>31</v>
      </c>
      <c r="C49" s="2" t="s">
        <v>24</v>
      </c>
      <c r="D49" s="2" t="s">
        <v>39</v>
      </c>
      <c r="E49" s="2">
        <v>1001.57</v>
      </c>
      <c r="F49" s="2">
        <v>12</v>
      </c>
      <c r="G49" s="2">
        <v>0</v>
      </c>
      <c r="H49" s="3">
        <v>45450</v>
      </c>
      <c r="I49" s="2">
        <v>450.71</v>
      </c>
    </row>
    <row r="50" spans="1:9" ht="15.75" customHeight="1" x14ac:dyDescent="0.3">
      <c r="A50" s="2" t="s">
        <v>57</v>
      </c>
      <c r="B50" s="2" t="s">
        <v>26</v>
      </c>
      <c r="C50" s="2" t="s">
        <v>18</v>
      </c>
      <c r="D50" s="2" t="s">
        <v>27</v>
      </c>
      <c r="E50" s="2">
        <v>1186.8499999999999</v>
      </c>
      <c r="F50" s="2">
        <v>19</v>
      </c>
      <c r="G50" s="2">
        <v>0.2</v>
      </c>
      <c r="H50" s="3">
        <v>45451</v>
      </c>
      <c r="I50" s="2">
        <v>332.32</v>
      </c>
    </row>
    <row r="51" spans="1:9" ht="15.75" customHeight="1" x14ac:dyDescent="0.3">
      <c r="A51" s="2" t="s">
        <v>44</v>
      </c>
      <c r="B51" s="2" t="s">
        <v>51</v>
      </c>
      <c r="C51" s="2" t="s">
        <v>20</v>
      </c>
      <c r="D51" s="2" t="s">
        <v>21</v>
      </c>
      <c r="E51" s="2">
        <v>775.45</v>
      </c>
      <c r="F51" s="2">
        <v>6</v>
      </c>
      <c r="G51" s="2">
        <v>0.1</v>
      </c>
      <c r="H51" s="3">
        <v>45457</v>
      </c>
      <c r="I51" s="2">
        <v>174.48</v>
      </c>
    </row>
    <row r="52" spans="1:9" ht="15.75" customHeight="1" x14ac:dyDescent="0.3">
      <c r="A52" s="2" t="s">
        <v>25</v>
      </c>
      <c r="B52" s="2" t="s">
        <v>33</v>
      </c>
      <c r="C52" s="2" t="s">
        <v>20</v>
      </c>
      <c r="D52" s="2" t="s">
        <v>21</v>
      </c>
      <c r="E52" s="2">
        <v>1021.47</v>
      </c>
      <c r="F52" s="2">
        <v>6</v>
      </c>
      <c r="G52" s="2">
        <v>0.05</v>
      </c>
      <c r="H52" s="3">
        <v>45461</v>
      </c>
      <c r="I52" s="2">
        <v>242.6</v>
      </c>
    </row>
    <row r="53" spans="1:9" ht="15.75" customHeight="1" x14ac:dyDescent="0.3">
      <c r="A53" s="2" t="s">
        <v>58</v>
      </c>
      <c r="B53" s="2" t="s">
        <v>23</v>
      </c>
      <c r="C53" s="2" t="s">
        <v>20</v>
      </c>
      <c r="D53" s="2" t="s">
        <v>15</v>
      </c>
      <c r="E53" s="2">
        <v>1226.6199999999999</v>
      </c>
      <c r="F53" s="2">
        <v>7</v>
      </c>
      <c r="G53" s="2">
        <v>0.1</v>
      </c>
      <c r="H53" s="3">
        <v>45463</v>
      </c>
      <c r="I53" s="2">
        <v>551.98</v>
      </c>
    </row>
    <row r="54" spans="1:9" ht="15.75" customHeight="1" x14ac:dyDescent="0.3">
      <c r="A54" s="2" t="s">
        <v>22</v>
      </c>
      <c r="B54" s="2" t="s">
        <v>64</v>
      </c>
      <c r="C54" s="2" t="s">
        <v>20</v>
      </c>
      <c r="D54" s="2" t="s">
        <v>27</v>
      </c>
      <c r="E54" s="2">
        <v>1086.93</v>
      </c>
      <c r="F54" s="2">
        <v>2</v>
      </c>
      <c r="G54" s="2">
        <v>0</v>
      </c>
      <c r="H54" s="3">
        <v>45464</v>
      </c>
      <c r="I54" s="2">
        <v>380.43</v>
      </c>
    </row>
    <row r="55" spans="1:9" ht="15.75" customHeight="1" x14ac:dyDescent="0.3">
      <c r="A55" s="2" t="s">
        <v>65</v>
      </c>
      <c r="B55" s="2" t="s">
        <v>48</v>
      </c>
      <c r="C55" s="2" t="s">
        <v>11</v>
      </c>
      <c r="D55" s="2" t="s">
        <v>12</v>
      </c>
      <c r="E55" s="2">
        <v>942.9</v>
      </c>
      <c r="F55" s="2">
        <v>18</v>
      </c>
      <c r="G55" s="2">
        <v>0.1</v>
      </c>
      <c r="H55" s="3">
        <v>45466</v>
      </c>
      <c r="I55" s="2">
        <v>339.44</v>
      </c>
    </row>
    <row r="56" spans="1:9" ht="15.75" customHeight="1" x14ac:dyDescent="0.3">
      <c r="A56" s="2" t="s">
        <v>32</v>
      </c>
      <c r="B56" s="2" t="s">
        <v>38</v>
      </c>
      <c r="C56" s="2" t="s">
        <v>24</v>
      </c>
      <c r="D56" s="2" t="s">
        <v>21</v>
      </c>
      <c r="E56" s="2">
        <v>818.8</v>
      </c>
      <c r="F56" s="2">
        <v>15</v>
      </c>
      <c r="G56" s="2">
        <v>0.15</v>
      </c>
      <c r="H56" s="3">
        <v>45468</v>
      </c>
      <c r="I56" s="2">
        <v>173.99</v>
      </c>
    </row>
    <row r="57" spans="1:9" ht="15.75" customHeight="1" x14ac:dyDescent="0.3">
      <c r="A57" s="2" t="s">
        <v>19</v>
      </c>
      <c r="B57" s="2" t="s">
        <v>14</v>
      </c>
      <c r="C57" s="2" t="s">
        <v>20</v>
      </c>
      <c r="D57" s="2" t="s">
        <v>27</v>
      </c>
      <c r="E57" s="2">
        <v>919.04</v>
      </c>
      <c r="F57" s="2">
        <v>10</v>
      </c>
      <c r="G57" s="2">
        <v>0.2</v>
      </c>
      <c r="H57" s="3">
        <v>45468</v>
      </c>
      <c r="I57" s="2">
        <v>257.33</v>
      </c>
    </row>
    <row r="58" spans="1:9" ht="15.75" customHeight="1" x14ac:dyDescent="0.3">
      <c r="A58" s="2" t="s">
        <v>22</v>
      </c>
      <c r="B58" s="2" t="s">
        <v>66</v>
      </c>
      <c r="C58" s="2" t="s">
        <v>34</v>
      </c>
      <c r="D58" s="2" t="s">
        <v>12</v>
      </c>
      <c r="E58" s="2">
        <v>973.26</v>
      </c>
      <c r="F58" s="2">
        <v>11</v>
      </c>
      <c r="G58" s="2">
        <v>0</v>
      </c>
      <c r="H58" s="3">
        <v>45470</v>
      </c>
      <c r="I58" s="2">
        <v>389.3</v>
      </c>
    </row>
    <row r="59" spans="1:9" ht="15.75" customHeight="1" x14ac:dyDescent="0.3">
      <c r="A59" s="2" t="s">
        <v>41</v>
      </c>
      <c r="B59" s="2" t="s">
        <v>64</v>
      </c>
      <c r="C59" s="2" t="s">
        <v>24</v>
      </c>
      <c r="D59" s="2" t="s">
        <v>21</v>
      </c>
      <c r="E59" s="2">
        <v>741.61</v>
      </c>
      <c r="F59" s="2">
        <v>1</v>
      </c>
      <c r="G59" s="2">
        <v>0.2</v>
      </c>
      <c r="H59" s="3">
        <v>45471</v>
      </c>
      <c r="I59" s="2">
        <v>148.32</v>
      </c>
    </row>
    <row r="60" spans="1:9" ht="15.75" customHeight="1" x14ac:dyDescent="0.3">
      <c r="A60" s="2" t="s">
        <v>67</v>
      </c>
      <c r="B60" s="2" t="s">
        <v>38</v>
      </c>
      <c r="C60" s="2" t="s">
        <v>24</v>
      </c>
      <c r="D60" s="2" t="s">
        <v>12</v>
      </c>
      <c r="E60" s="2">
        <v>1248.82</v>
      </c>
      <c r="F60" s="2">
        <v>2</v>
      </c>
      <c r="G60" s="2">
        <v>0.1</v>
      </c>
      <c r="H60" s="3">
        <v>45473</v>
      </c>
      <c r="I60" s="2">
        <v>449.58</v>
      </c>
    </row>
    <row r="61" spans="1:9" ht="15.75" customHeight="1" x14ac:dyDescent="0.3">
      <c r="A61" s="2" t="s">
        <v>13</v>
      </c>
      <c r="B61" s="2" t="s">
        <v>59</v>
      </c>
      <c r="C61" s="2" t="s">
        <v>11</v>
      </c>
      <c r="D61" s="2" t="s">
        <v>15</v>
      </c>
      <c r="E61" s="2">
        <v>1360.36</v>
      </c>
      <c r="F61" s="2">
        <v>17</v>
      </c>
      <c r="G61" s="2">
        <v>0</v>
      </c>
      <c r="H61" s="3">
        <v>45473</v>
      </c>
      <c r="I61" s="2">
        <v>680.18</v>
      </c>
    </row>
    <row r="62" spans="1:9" ht="15.75" customHeight="1" x14ac:dyDescent="0.3">
      <c r="A62" s="2" t="s">
        <v>57</v>
      </c>
      <c r="B62" s="2" t="s">
        <v>31</v>
      </c>
      <c r="C62" s="2" t="s">
        <v>18</v>
      </c>
      <c r="D62" s="2" t="s">
        <v>12</v>
      </c>
      <c r="E62" s="2">
        <v>1383.3</v>
      </c>
      <c r="F62" s="2">
        <v>8</v>
      </c>
      <c r="G62" s="2">
        <v>0.1</v>
      </c>
      <c r="H62" s="3">
        <v>45478</v>
      </c>
      <c r="I62" s="2">
        <v>497.99</v>
      </c>
    </row>
    <row r="63" spans="1:9" ht="15.75" customHeight="1" x14ac:dyDescent="0.3">
      <c r="A63" s="2" t="s">
        <v>35</v>
      </c>
      <c r="B63" s="2" t="s">
        <v>55</v>
      </c>
      <c r="C63" s="2" t="s">
        <v>34</v>
      </c>
      <c r="D63" s="2" t="s">
        <v>39</v>
      </c>
      <c r="E63" s="2">
        <v>488.99</v>
      </c>
      <c r="F63" s="2">
        <v>9</v>
      </c>
      <c r="G63" s="2">
        <v>0</v>
      </c>
      <c r="H63" s="3">
        <v>45479</v>
      </c>
      <c r="I63" s="2">
        <v>220.05</v>
      </c>
    </row>
    <row r="64" spans="1:9" ht="15.75" customHeight="1" x14ac:dyDescent="0.3">
      <c r="A64" s="2" t="s">
        <v>30</v>
      </c>
      <c r="B64" s="2" t="s">
        <v>31</v>
      </c>
      <c r="C64" s="2" t="s">
        <v>18</v>
      </c>
      <c r="D64" s="2" t="s">
        <v>27</v>
      </c>
      <c r="E64" s="2">
        <v>933.71</v>
      </c>
      <c r="F64" s="2">
        <v>17</v>
      </c>
      <c r="G64" s="2">
        <v>0.1</v>
      </c>
      <c r="H64" s="3">
        <v>45481</v>
      </c>
      <c r="I64" s="2">
        <v>294.12</v>
      </c>
    </row>
    <row r="65" spans="1:9" ht="15.75" customHeight="1" x14ac:dyDescent="0.3">
      <c r="A65" s="2" t="s">
        <v>67</v>
      </c>
      <c r="B65" s="2" t="s">
        <v>10</v>
      </c>
      <c r="C65" s="2" t="s">
        <v>11</v>
      </c>
      <c r="D65" s="2" t="s">
        <v>21</v>
      </c>
      <c r="E65" s="2">
        <v>1005.53</v>
      </c>
      <c r="F65" s="2">
        <v>17</v>
      </c>
      <c r="G65" s="2">
        <v>0.2</v>
      </c>
      <c r="H65" s="3">
        <v>45481</v>
      </c>
      <c r="I65" s="2">
        <v>201.11</v>
      </c>
    </row>
    <row r="66" spans="1:9" ht="15.75" customHeight="1" x14ac:dyDescent="0.3">
      <c r="A66" s="2" t="s">
        <v>41</v>
      </c>
      <c r="B66" s="2" t="s">
        <v>61</v>
      </c>
      <c r="C66" s="2" t="s">
        <v>20</v>
      </c>
      <c r="D66" s="2" t="s">
        <v>21</v>
      </c>
      <c r="E66" s="2">
        <v>1100.0999999999999</v>
      </c>
      <c r="F66" s="2">
        <v>5</v>
      </c>
      <c r="G66" s="2">
        <v>0.05</v>
      </c>
      <c r="H66" s="3">
        <v>45482</v>
      </c>
      <c r="I66" s="2">
        <v>261.27</v>
      </c>
    </row>
    <row r="67" spans="1:9" ht="15.75" customHeight="1" x14ac:dyDescent="0.3">
      <c r="A67" s="2" t="s">
        <v>67</v>
      </c>
      <c r="B67" s="2" t="s">
        <v>23</v>
      </c>
      <c r="C67" s="2" t="s">
        <v>24</v>
      </c>
      <c r="D67" s="2" t="s">
        <v>27</v>
      </c>
      <c r="E67" s="2">
        <v>1034.7</v>
      </c>
      <c r="F67" s="2">
        <v>15</v>
      </c>
      <c r="G67" s="2">
        <v>0.15</v>
      </c>
      <c r="H67" s="3">
        <v>45487</v>
      </c>
      <c r="I67" s="2">
        <v>307.82</v>
      </c>
    </row>
    <row r="68" spans="1:9" ht="15.75" customHeight="1" x14ac:dyDescent="0.3">
      <c r="A68" s="2" t="s">
        <v>65</v>
      </c>
      <c r="B68" s="2" t="s">
        <v>31</v>
      </c>
      <c r="C68" s="2" t="s">
        <v>20</v>
      </c>
      <c r="D68" s="2" t="s">
        <v>12</v>
      </c>
      <c r="E68" s="2">
        <v>876.44</v>
      </c>
      <c r="F68" s="2">
        <v>12</v>
      </c>
      <c r="G68" s="2">
        <v>0.05</v>
      </c>
      <c r="H68" s="3">
        <v>45488</v>
      </c>
      <c r="I68" s="2">
        <v>333.05</v>
      </c>
    </row>
    <row r="69" spans="1:9" ht="15.75" customHeight="1" x14ac:dyDescent="0.3">
      <c r="A69" s="2" t="s">
        <v>68</v>
      </c>
      <c r="B69" s="2" t="s">
        <v>55</v>
      </c>
      <c r="C69" s="2" t="s">
        <v>11</v>
      </c>
      <c r="D69" s="2" t="s">
        <v>27</v>
      </c>
      <c r="E69" s="2">
        <v>1371.34</v>
      </c>
      <c r="F69" s="2">
        <v>5</v>
      </c>
      <c r="G69" s="2">
        <v>0.05</v>
      </c>
      <c r="H69" s="3">
        <v>45488</v>
      </c>
      <c r="I69" s="2">
        <v>455.97</v>
      </c>
    </row>
    <row r="70" spans="1:9" ht="15.75" customHeight="1" x14ac:dyDescent="0.3">
      <c r="A70" s="2" t="s">
        <v>57</v>
      </c>
      <c r="B70" s="2" t="s">
        <v>47</v>
      </c>
      <c r="C70" s="2" t="s">
        <v>24</v>
      </c>
      <c r="D70" s="2" t="s">
        <v>21</v>
      </c>
      <c r="E70" s="2">
        <v>1020.26</v>
      </c>
      <c r="F70" s="2">
        <v>11</v>
      </c>
      <c r="G70" s="2">
        <v>0.05</v>
      </c>
      <c r="H70" s="3">
        <v>45494</v>
      </c>
      <c r="I70" s="2">
        <v>242.31</v>
      </c>
    </row>
    <row r="71" spans="1:9" ht="15.75" customHeight="1" x14ac:dyDescent="0.3">
      <c r="A71" s="2" t="s">
        <v>44</v>
      </c>
      <c r="B71" s="2" t="s">
        <v>10</v>
      </c>
      <c r="C71" s="2" t="s">
        <v>34</v>
      </c>
      <c r="D71" s="2" t="s">
        <v>39</v>
      </c>
      <c r="E71" s="2">
        <v>804.81</v>
      </c>
      <c r="F71" s="2">
        <v>1</v>
      </c>
      <c r="G71" s="2">
        <v>0.05</v>
      </c>
      <c r="H71" s="3">
        <v>45502</v>
      </c>
      <c r="I71" s="2">
        <v>344.06</v>
      </c>
    </row>
    <row r="72" spans="1:9" ht="15.75" customHeight="1" x14ac:dyDescent="0.3">
      <c r="A72" s="2" t="s">
        <v>22</v>
      </c>
      <c r="B72" s="2" t="s">
        <v>55</v>
      </c>
      <c r="C72" s="2" t="s">
        <v>34</v>
      </c>
      <c r="D72" s="2" t="s">
        <v>21</v>
      </c>
      <c r="E72" s="2">
        <v>608.66</v>
      </c>
      <c r="F72" s="2">
        <v>1</v>
      </c>
      <c r="G72" s="2">
        <v>0.05</v>
      </c>
      <c r="H72" s="3">
        <v>45503</v>
      </c>
      <c r="I72" s="2">
        <v>144.56</v>
      </c>
    </row>
    <row r="73" spans="1:9" ht="15.75" customHeight="1" x14ac:dyDescent="0.3">
      <c r="A73" s="2" t="s">
        <v>68</v>
      </c>
      <c r="B73" s="2" t="s">
        <v>69</v>
      </c>
      <c r="C73" s="2" t="s">
        <v>20</v>
      </c>
      <c r="D73" s="2" t="s">
        <v>39</v>
      </c>
      <c r="E73" s="2">
        <v>981.2</v>
      </c>
      <c r="F73" s="2">
        <v>19</v>
      </c>
      <c r="G73" s="2">
        <v>0</v>
      </c>
      <c r="H73" s="3">
        <v>45504</v>
      </c>
      <c r="I73" s="2">
        <v>441.54</v>
      </c>
    </row>
    <row r="74" spans="1:9" ht="15.75" customHeight="1" x14ac:dyDescent="0.3">
      <c r="A74" s="2" t="s">
        <v>70</v>
      </c>
      <c r="B74" s="2" t="s">
        <v>55</v>
      </c>
      <c r="C74" s="2" t="s">
        <v>18</v>
      </c>
      <c r="D74" s="2" t="s">
        <v>21</v>
      </c>
      <c r="E74" s="2">
        <v>539.77</v>
      </c>
      <c r="F74" s="2">
        <v>10</v>
      </c>
      <c r="G74" s="2">
        <v>0.15</v>
      </c>
      <c r="H74" s="3">
        <v>45509</v>
      </c>
      <c r="I74" s="2">
        <v>114.7</v>
      </c>
    </row>
    <row r="75" spans="1:9" ht="15.75" customHeight="1" x14ac:dyDescent="0.3">
      <c r="A75" s="2" t="s">
        <v>13</v>
      </c>
      <c r="B75" s="2" t="s">
        <v>71</v>
      </c>
      <c r="C75" s="2" t="s">
        <v>20</v>
      </c>
      <c r="D75" s="2" t="s">
        <v>12</v>
      </c>
      <c r="E75" s="2">
        <v>804.45</v>
      </c>
      <c r="F75" s="2">
        <v>5</v>
      </c>
      <c r="G75" s="2">
        <v>0.2</v>
      </c>
      <c r="H75" s="3">
        <v>45509</v>
      </c>
      <c r="I75" s="2">
        <v>257.42</v>
      </c>
    </row>
    <row r="76" spans="1:9" ht="15.75" customHeight="1" x14ac:dyDescent="0.3">
      <c r="A76" s="2" t="s">
        <v>70</v>
      </c>
      <c r="B76" s="2" t="s">
        <v>38</v>
      </c>
      <c r="C76" s="2" t="s">
        <v>11</v>
      </c>
      <c r="D76" s="2" t="s">
        <v>21</v>
      </c>
      <c r="E76" s="2">
        <v>1526.6</v>
      </c>
      <c r="F76" s="2">
        <v>13</v>
      </c>
      <c r="G76" s="2">
        <v>0.2</v>
      </c>
      <c r="H76" s="3">
        <v>45512</v>
      </c>
      <c r="I76" s="2">
        <v>305.32</v>
      </c>
    </row>
    <row r="77" spans="1:9" ht="15.75" customHeight="1" x14ac:dyDescent="0.3">
      <c r="A77" s="2" t="s">
        <v>13</v>
      </c>
      <c r="B77" s="2" t="s">
        <v>29</v>
      </c>
      <c r="C77" s="2" t="s">
        <v>11</v>
      </c>
      <c r="D77" s="2" t="s">
        <v>21</v>
      </c>
      <c r="E77" s="2">
        <v>1215.26</v>
      </c>
      <c r="F77" s="2">
        <v>5</v>
      </c>
      <c r="G77" s="2">
        <v>0.15</v>
      </c>
      <c r="H77" s="3">
        <v>45513</v>
      </c>
      <c r="I77" s="2">
        <v>258.24</v>
      </c>
    </row>
    <row r="78" spans="1:9" ht="15.75" customHeight="1" x14ac:dyDescent="0.3">
      <c r="A78" s="2" t="s">
        <v>19</v>
      </c>
      <c r="B78" s="2" t="s">
        <v>53</v>
      </c>
      <c r="C78" s="2" t="s">
        <v>34</v>
      </c>
      <c r="D78" s="2" t="s">
        <v>27</v>
      </c>
      <c r="E78" s="2">
        <v>1261.3399999999999</v>
      </c>
      <c r="F78" s="2">
        <v>3</v>
      </c>
      <c r="G78" s="2">
        <v>0</v>
      </c>
      <c r="H78" s="3">
        <v>45519</v>
      </c>
      <c r="I78" s="2">
        <v>441.47</v>
      </c>
    </row>
    <row r="79" spans="1:9" ht="15.75" customHeight="1" x14ac:dyDescent="0.3">
      <c r="A79" s="2" t="s">
        <v>72</v>
      </c>
      <c r="B79" s="2" t="s">
        <v>45</v>
      </c>
      <c r="C79" s="2" t="s">
        <v>24</v>
      </c>
      <c r="D79" s="2" t="s">
        <v>27</v>
      </c>
      <c r="E79" s="2">
        <v>518.07000000000005</v>
      </c>
      <c r="F79" s="2">
        <v>7</v>
      </c>
      <c r="G79" s="2">
        <v>0.05</v>
      </c>
      <c r="H79" s="3">
        <v>45522</v>
      </c>
      <c r="I79" s="2">
        <v>172.26</v>
      </c>
    </row>
    <row r="80" spans="1:9" ht="15.75" customHeight="1" x14ac:dyDescent="0.3">
      <c r="A80" s="2" t="s">
        <v>30</v>
      </c>
      <c r="B80" s="2" t="s">
        <v>29</v>
      </c>
      <c r="C80" s="2" t="s">
        <v>11</v>
      </c>
      <c r="D80" s="2" t="s">
        <v>39</v>
      </c>
      <c r="E80" s="2">
        <v>1111.3399999999999</v>
      </c>
      <c r="F80" s="2">
        <v>1</v>
      </c>
      <c r="G80" s="2">
        <v>0</v>
      </c>
      <c r="H80" s="3">
        <v>45523</v>
      </c>
      <c r="I80" s="2">
        <v>500.1</v>
      </c>
    </row>
    <row r="81" spans="1:9" ht="15.75" customHeight="1" x14ac:dyDescent="0.3">
      <c r="A81" s="2" t="s">
        <v>22</v>
      </c>
      <c r="B81" s="2" t="s">
        <v>31</v>
      </c>
      <c r="C81" s="2" t="s">
        <v>18</v>
      </c>
      <c r="D81" s="2" t="s">
        <v>15</v>
      </c>
      <c r="E81" s="2">
        <v>1291.47</v>
      </c>
      <c r="F81" s="2">
        <v>18</v>
      </c>
      <c r="G81" s="2">
        <v>0.1</v>
      </c>
      <c r="H81" s="3">
        <v>45526</v>
      </c>
      <c r="I81" s="2">
        <v>581.16</v>
      </c>
    </row>
    <row r="82" spans="1:9" ht="15.75" customHeight="1" x14ac:dyDescent="0.3">
      <c r="A82" s="2" t="s">
        <v>25</v>
      </c>
      <c r="B82" s="2" t="s">
        <v>55</v>
      </c>
      <c r="C82" s="2" t="s">
        <v>24</v>
      </c>
      <c r="D82" s="2" t="s">
        <v>12</v>
      </c>
      <c r="E82" s="2">
        <v>679.71</v>
      </c>
      <c r="F82" s="2">
        <v>19</v>
      </c>
      <c r="G82" s="2">
        <v>0</v>
      </c>
      <c r="H82" s="3">
        <v>45534</v>
      </c>
      <c r="I82" s="2">
        <v>271.88</v>
      </c>
    </row>
    <row r="83" spans="1:9" ht="15.75" customHeight="1" x14ac:dyDescent="0.3">
      <c r="A83" s="2" t="s">
        <v>68</v>
      </c>
      <c r="B83" s="2" t="s">
        <v>33</v>
      </c>
      <c r="C83" s="2" t="s">
        <v>18</v>
      </c>
      <c r="D83" s="2" t="s">
        <v>27</v>
      </c>
      <c r="E83" s="2">
        <v>1143.69</v>
      </c>
      <c r="F83" s="2">
        <v>17</v>
      </c>
      <c r="G83" s="2">
        <v>0</v>
      </c>
      <c r="H83" s="3">
        <v>45534</v>
      </c>
      <c r="I83" s="2">
        <v>400.29</v>
      </c>
    </row>
    <row r="84" spans="1:9" ht="15.75" customHeight="1" x14ac:dyDescent="0.3">
      <c r="A84" s="2" t="s">
        <v>52</v>
      </c>
      <c r="B84" s="2" t="s">
        <v>50</v>
      </c>
      <c r="C84" s="2" t="s">
        <v>34</v>
      </c>
      <c r="D84" s="2" t="s">
        <v>21</v>
      </c>
      <c r="E84" s="2">
        <v>790.08</v>
      </c>
      <c r="F84" s="2">
        <v>7</v>
      </c>
      <c r="G84" s="2">
        <v>0.1</v>
      </c>
      <c r="H84" s="3">
        <v>45536</v>
      </c>
      <c r="I84" s="2">
        <v>177.77</v>
      </c>
    </row>
    <row r="85" spans="1:9" ht="15.75" customHeight="1" x14ac:dyDescent="0.3">
      <c r="A85" s="2" t="s">
        <v>19</v>
      </c>
      <c r="B85" s="2" t="s">
        <v>48</v>
      </c>
      <c r="C85" s="2" t="s">
        <v>34</v>
      </c>
      <c r="D85" s="2" t="s">
        <v>12</v>
      </c>
      <c r="E85" s="2">
        <v>1070.68</v>
      </c>
      <c r="F85" s="2">
        <v>7</v>
      </c>
      <c r="G85" s="2">
        <v>0.05</v>
      </c>
      <c r="H85" s="3">
        <v>45536</v>
      </c>
      <c r="I85" s="2">
        <v>406.86</v>
      </c>
    </row>
    <row r="86" spans="1:9" ht="15.75" customHeight="1" x14ac:dyDescent="0.3">
      <c r="A86" s="2" t="s">
        <v>58</v>
      </c>
      <c r="B86" s="2" t="s">
        <v>36</v>
      </c>
      <c r="C86" s="2" t="s">
        <v>11</v>
      </c>
      <c r="D86" s="2" t="s">
        <v>15</v>
      </c>
      <c r="E86" s="2">
        <v>1168.8900000000001</v>
      </c>
      <c r="F86" s="2">
        <v>4</v>
      </c>
      <c r="G86" s="2">
        <v>0.1</v>
      </c>
      <c r="H86" s="3">
        <v>45544</v>
      </c>
      <c r="I86" s="2">
        <v>526</v>
      </c>
    </row>
    <row r="87" spans="1:9" ht="15.75" customHeight="1" x14ac:dyDescent="0.3">
      <c r="A87" s="2" t="s">
        <v>67</v>
      </c>
      <c r="B87" s="2" t="s">
        <v>10</v>
      </c>
      <c r="C87" s="2" t="s">
        <v>20</v>
      </c>
      <c r="D87" s="2" t="s">
        <v>21</v>
      </c>
      <c r="E87" s="2">
        <v>1335.87</v>
      </c>
      <c r="F87" s="2">
        <v>17</v>
      </c>
      <c r="G87" s="2">
        <v>0</v>
      </c>
      <c r="H87" s="3">
        <v>45544</v>
      </c>
      <c r="I87" s="2">
        <v>333.97</v>
      </c>
    </row>
    <row r="88" spans="1:9" ht="15.75" customHeight="1" x14ac:dyDescent="0.3">
      <c r="A88" s="2" t="s">
        <v>40</v>
      </c>
      <c r="B88" s="2" t="s">
        <v>55</v>
      </c>
      <c r="C88" s="2" t="s">
        <v>18</v>
      </c>
      <c r="D88" s="2" t="s">
        <v>27</v>
      </c>
      <c r="E88" s="2">
        <v>873.7</v>
      </c>
      <c r="F88" s="2">
        <v>9</v>
      </c>
      <c r="G88" s="2">
        <v>0</v>
      </c>
      <c r="H88" s="3">
        <v>45546</v>
      </c>
      <c r="I88" s="2">
        <v>305.8</v>
      </c>
    </row>
    <row r="89" spans="1:9" ht="15.75" customHeight="1" x14ac:dyDescent="0.3">
      <c r="A89" s="2" t="s">
        <v>72</v>
      </c>
      <c r="B89" s="2" t="s">
        <v>64</v>
      </c>
      <c r="C89" s="2" t="s">
        <v>11</v>
      </c>
      <c r="D89" s="2" t="s">
        <v>39</v>
      </c>
      <c r="E89" s="2">
        <v>1443.98</v>
      </c>
      <c r="F89" s="2">
        <v>19</v>
      </c>
      <c r="G89" s="2">
        <v>0</v>
      </c>
      <c r="H89" s="3">
        <v>45547</v>
      </c>
      <c r="I89" s="2">
        <v>649.79</v>
      </c>
    </row>
    <row r="90" spans="1:9" ht="15.75" customHeight="1" x14ac:dyDescent="0.3">
      <c r="A90" s="2" t="s">
        <v>40</v>
      </c>
      <c r="B90" s="2" t="s">
        <v>23</v>
      </c>
      <c r="C90" s="2" t="s">
        <v>18</v>
      </c>
      <c r="D90" s="2" t="s">
        <v>39</v>
      </c>
      <c r="E90" s="2">
        <v>1154.33</v>
      </c>
      <c r="F90" s="2">
        <v>11</v>
      </c>
      <c r="G90" s="2">
        <v>0.15</v>
      </c>
      <c r="H90" s="3">
        <v>45549</v>
      </c>
      <c r="I90" s="2">
        <v>441.53</v>
      </c>
    </row>
    <row r="91" spans="1:9" ht="15.75" customHeight="1" x14ac:dyDescent="0.3">
      <c r="A91" s="2" t="s">
        <v>49</v>
      </c>
      <c r="B91" s="2" t="s">
        <v>50</v>
      </c>
      <c r="C91" s="2" t="s">
        <v>20</v>
      </c>
      <c r="D91" s="2" t="s">
        <v>12</v>
      </c>
      <c r="E91" s="2">
        <v>1264.49</v>
      </c>
      <c r="F91" s="2">
        <v>16</v>
      </c>
      <c r="G91" s="2">
        <v>0.05</v>
      </c>
      <c r="H91" s="3">
        <v>45549</v>
      </c>
      <c r="I91" s="2">
        <v>480.51</v>
      </c>
    </row>
    <row r="92" spans="1:9" ht="15.75" customHeight="1" x14ac:dyDescent="0.3">
      <c r="A92" s="2" t="s">
        <v>25</v>
      </c>
      <c r="B92" s="2" t="s">
        <v>66</v>
      </c>
      <c r="C92" s="2" t="s">
        <v>11</v>
      </c>
      <c r="D92" s="2" t="s">
        <v>27</v>
      </c>
      <c r="E92" s="2">
        <v>1101.55</v>
      </c>
      <c r="F92" s="2">
        <v>4</v>
      </c>
      <c r="G92" s="2">
        <v>0.1</v>
      </c>
      <c r="H92" s="3">
        <v>45551</v>
      </c>
      <c r="I92" s="2">
        <v>346.99</v>
      </c>
    </row>
    <row r="93" spans="1:9" ht="15.75" customHeight="1" x14ac:dyDescent="0.3">
      <c r="A93" s="2" t="s">
        <v>73</v>
      </c>
      <c r="B93" s="2" t="s">
        <v>14</v>
      </c>
      <c r="C93" s="2" t="s">
        <v>20</v>
      </c>
      <c r="D93" s="2" t="s">
        <v>27</v>
      </c>
      <c r="E93" s="2">
        <v>727.73</v>
      </c>
      <c r="F93" s="2">
        <v>1</v>
      </c>
      <c r="G93" s="2">
        <v>0.1</v>
      </c>
      <c r="H93" s="3">
        <v>45552</v>
      </c>
      <c r="I93" s="2">
        <v>229.23</v>
      </c>
    </row>
    <row r="94" spans="1:9" ht="15.75" customHeight="1" x14ac:dyDescent="0.3">
      <c r="A94" s="2" t="s">
        <v>74</v>
      </c>
      <c r="B94" s="2" t="s">
        <v>38</v>
      </c>
      <c r="C94" s="2" t="s">
        <v>18</v>
      </c>
      <c r="D94" s="2" t="s">
        <v>39</v>
      </c>
      <c r="E94" s="2">
        <v>875.41</v>
      </c>
      <c r="F94" s="2">
        <v>13</v>
      </c>
      <c r="G94" s="2">
        <v>0.15</v>
      </c>
      <c r="H94" s="3">
        <v>45552</v>
      </c>
      <c r="I94" s="2">
        <v>334.84</v>
      </c>
    </row>
    <row r="95" spans="1:9" ht="15.75" customHeight="1" x14ac:dyDescent="0.3">
      <c r="A95" s="2" t="s">
        <v>67</v>
      </c>
      <c r="B95" s="2" t="s">
        <v>23</v>
      </c>
      <c r="C95" s="2" t="s">
        <v>11</v>
      </c>
      <c r="D95" s="2" t="s">
        <v>21</v>
      </c>
      <c r="E95" s="2">
        <v>1158.94</v>
      </c>
      <c r="F95" s="2">
        <v>19</v>
      </c>
      <c r="G95" s="2">
        <v>0.2</v>
      </c>
      <c r="H95" s="3">
        <v>45553</v>
      </c>
      <c r="I95" s="2">
        <v>231.79</v>
      </c>
    </row>
    <row r="96" spans="1:9" ht="15.75" customHeight="1" x14ac:dyDescent="0.3">
      <c r="A96" s="2" t="s">
        <v>75</v>
      </c>
      <c r="B96" s="2" t="s">
        <v>47</v>
      </c>
      <c r="C96" s="2" t="s">
        <v>20</v>
      </c>
      <c r="D96" s="2" t="s">
        <v>12</v>
      </c>
      <c r="E96" s="2">
        <v>966.3</v>
      </c>
      <c r="F96" s="2">
        <v>2</v>
      </c>
      <c r="G96" s="2">
        <v>0.15</v>
      </c>
      <c r="H96" s="3">
        <v>45557</v>
      </c>
      <c r="I96" s="2">
        <v>328.54</v>
      </c>
    </row>
    <row r="97" spans="1:9" ht="15.75" customHeight="1" x14ac:dyDescent="0.3">
      <c r="A97" s="2" t="s">
        <v>68</v>
      </c>
      <c r="B97" s="2" t="s">
        <v>17</v>
      </c>
      <c r="C97" s="2" t="s">
        <v>20</v>
      </c>
      <c r="D97" s="2" t="s">
        <v>12</v>
      </c>
      <c r="E97" s="2">
        <v>917.48</v>
      </c>
      <c r="F97" s="2">
        <v>6</v>
      </c>
      <c r="G97" s="2">
        <v>0</v>
      </c>
      <c r="H97" s="3">
        <v>45558</v>
      </c>
      <c r="I97" s="2">
        <v>366.99</v>
      </c>
    </row>
    <row r="98" spans="1:9" ht="15.75" customHeight="1" x14ac:dyDescent="0.3">
      <c r="A98" s="2" t="s">
        <v>41</v>
      </c>
      <c r="B98" s="2" t="s">
        <v>61</v>
      </c>
      <c r="C98" s="2" t="s">
        <v>11</v>
      </c>
      <c r="D98" s="2" t="s">
        <v>27</v>
      </c>
      <c r="E98" s="2">
        <v>1172.97</v>
      </c>
      <c r="F98" s="2">
        <v>7</v>
      </c>
      <c r="G98" s="2">
        <v>0.15</v>
      </c>
      <c r="H98" s="3">
        <v>45559</v>
      </c>
      <c r="I98" s="2">
        <v>348.96</v>
      </c>
    </row>
    <row r="99" spans="1:9" ht="15.75" customHeight="1" x14ac:dyDescent="0.3">
      <c r="A99" s="2" t="s">
        <v>57</v>
      </c>
      <c r="B99" s="2" t="s">
        <v>23</v>
      </c>
      <c r="C99" s="2" t="s">
        <v>24</v>
      </c>
      <c r="D99" s="2" t="s">
        <v>15</v>
      </c>
      <c r="E99" s="2">
        <v>1205.82</v>
      </c>
      <c r="F99" s="2">
        <v>11</v>
      </c>
      <c r="G99" s="2">
        <v>0.1</v>
      </c>
      <c r="H99" s="3">
        <v>45559</v>
      </c>
      <c r="I99" s="2">
        <v>542.62</v>
      </c>
    </row>
    <row r="100" spans="1:9" ht="15.75" customHeight="1" x14ac:dyDescent="0.3">
      <c r="A100" s="2" t="s">
        <v>16</v>
      </c>
      <c r="B100" s="2" t="s">
        <v>64</v>
      </c>
      <c r="C100" s="2" t="s">
        <v>11</v>
      </c>
      <c r="D100" s="2" t="s">
        <v>39</v>
      </c>
      <c r="E100" s="2">
        <v>826.93</v>
      </c>
      <c r="F100" s="2">
        <v>10</v>
      </c>
      <c r="G100" s="2">
        <v>0.2</v>
      </c>
      <c r="H100" s="3">
        <v>45564</v>
      </c>
      <c r="I100" s="2">
        <v>297.69</v>
      </c>
    </row>
    <row r="101" spans="1:9" ht="15.75" customHeight="1" x14ac:dyDescent="0.3">
      <c r="A101" s="2" t="s">
        <v>67</v>
      </c>
      <c r="B101" s="2" t="s">
        <v>23</v>
      </c>
      <c r="C101" s="2" t="s">
        <v>34</v>
      </c>
      <c r="D101" s="2" t="s">
        <v>15</v>
      </c>
      <c r="E101" s="2">
        <v>902.19</v>
      </c>
      <c r="F101" s="2">
        <v>12</v>
      </c>
      <c r="G101" s="2">
        <v>0</v>
      </c>
      <c r="H101" s="3">
        <v>45564</v>
      </c>
      <c r="I101" s="2">
        <v>451.1</v>
      </c>
    </row>
    <row r="102" spans="1:9" ht="15.75" customHeight="1" x14ac:dyDescent="0.3">
      <c r="A102" s="2" t="s">
        <v>74</v>
      </c>
      <c r="B102" s="2" t="s">
        <v>38</v>
      </c>
      <c r="C102" s="2" t="s">
        <v>24</v>
      </c>
      <c r="D102" s="2" t="s">
        <v>12</v>
      </c>
      <c r="E102" s="2">
        <v>585.97</v>
      </c>
      <c r="F102" s="2">
        <v>17</v>
      </c>
      <c r="G102" s="2">
        <v>0.1</v>
      </c>
      <c r="H102" s="3">
        <v>45565</v>
      </c>
      <c r="I102" s="2">
        <v>210.95</v>
      </c>
    </row>
    <row r="103" spans="1:9" ht="15.75" customHeight="1" x14ac:dyDescent="0.3">
      <c r="A103" s="2" t="s">
        <v>60</v>
      </c>
      <c r="B103" s="2" t="s">
        <v>26</v>
      </c>
      <c r="C103" s="2" t="s">
        <v>24</v>
      </c>
      <c r="D103" s="2" t="s">
        <v>15</v>
      </c>
      <c r="E103" s="2">
        <v>990.19</v>
      </c>
      <c r="F103" s="2">
        <v>8</v>
      </c>
      <c r="G103" s="2">
        <v>0.1</v>
      </c>
      <c r="H103" s="3">
        <v>45565</v>
      </c>
      <c r="I103" s="2">
        <v>445.59</v>
      </c>
    </row>
    <row r="104" spans="1:9" ht="15.75" customHeight="1" x14ac:dyDescent="0.3">
      <c r="A104" s="2" t="s">
        <v>44</v>
      </c>
      <c r="B104" s="2" t="s">
        <v>56</v>
      </c>
      <c r="C104" s="2" t="s">
        <v>34</v>
      </c>
      <c r="D104" s="2" t="s">
        <v>21</v>
      </c>
      <c r="E104" s="2">
        <v>1014.09</v>
      </c>
      <c r="F104" s="2">
        <v>13</v>
      </c>
      <c r="G104" s="2">
        <v>0.2</v>
      </c>
      <c r="H104" s="3">
        <v>45567</v>
      </c>
      <c r="I104" s="2">
        <v>202.82</v>
      </c>
    </row>
    <row r="105" spans="1:9" ht="15.75" customHeight="1" x14ac:dyDescent="0.3">
      <c r="A105" s="2" t="s">
        <v>13</v>
      </c>
      <c r="B105" s="2" t="s">
        <v>48</v>
      </c>
      <c r="C105" s="2" t="s">
        <v>24</v>
      </c>
      <c r="D105" s="2" t="s">
        <v>21</v>
      </c>
      <c r="E105" s="2">
        <v>925.29</v>
      </c>
      <c r="F105" s="2">
        <v>17</v>
      </c>
      <c r="G105" s="2">
        <v>0</v>
      </c>
      <c r="H105" s="3">
        <v>45570</v>
      </c>
      <c r="I105" s="2">
        <v>231.32</v>
      </c>
    </row>
    <row r="106" spans="1:9" ht="15.75" customHeight="1" x14ac:dyDescent="0.3">
      <c r="A106" s="2" t="s">
        <v>54</v>
      </c>
      <c r="B106" s="2" t="s">
        <v>47</v>
      </c>
      <c r="C106" s="2" t="s">
        <v>18</v>
      </c>
      <c r="D106" s="2" t="s">
        <v>27</v>
      </c>
      <c r="E106" s="2">
        <v>1286.54</v>
      </c>
      <c r="F106" s="2">
        <v>8</v>
      </c>
      <c r="G106" s="2">
        <v>0</v>
      </c>
      <c r="H106" s="3">
        <v>45575</v>
      </c>
      <c r="I106" s="2">
        <v>450.29</v>
      </c>
    </row>
    <row r="107" spans="1:9" ht="15.75" customHeight="1" x14ac:dyDescent="0.3">
      <c r="A107" s="2" t="s">
        <v>37</v>
      </c>
      <c r="B107" s="2" t="s">
        <v>64</v>
      </c>
      <c r="C107" s="2" t="s">
        <v>20</v>
      </c>
      <c r="D107" s="2" t="s">
        <v>12</v>
      </c>
      <c r="E107" s="2">
        <v>961.62</v>
      </c>
      <c r="F107" s="2">
        <v>8</v>
      </c>
      <c r="G107" s="2">
        <v>0.2</v>
      </c>
      <c r="H107" s="3">
        <v>45577</v>
      </c>
      <c r="I107" s="2">
        <v>307.72000000000003</v>
      </c>
    </row>
    <row r="108" spans="1:9" ht="15.75" customHeight="1" x14ac:dyDescent="0.3">
      <c r="A108" s="2" t="s">
        <v>44</v>
      </c>
      <c r="B108" s="2" t="s">
        <v>23</v>
      </c>
      <c r="C108" s="2" t="s">
        <v>18</v>
      </c>
      <c r="D108" s="2" t="s">
        <v>12</v>
      </c>
      <c r="E108" s="2">
        <v>1081.1400000000001</v>
      </c>
      <c r="F108" s="2">
        <v>19</v>
      </c>
      <c r="G108" s="2">
        <v>0.15</v>
      </c>
      <c r="H108" s="3">
        <v>45577</v>
      </c>
      <c r="I108" s="2">
        <v>367.59</v>
      </c>
    </row>
    <row r="109" spans="1:9" ht="15.75" customHeight="1" x14ac:dyDescent="0.3">
      <c r="A109" s="2" t="s">
        <v>58</v>
      </c>
      <c r="B109" s="2" t="s">
        <v>23</v>
      </c>
      <c r="C109" s="2" t="s">
        <v>11</v>
      </c>
      <c r="D109" s="2" t="s">
        <v>15</v>
      </c>
      <c r="E109" s="2">
        <v>1923.66</v>
      </c>
      <c r="F109" s="2">
        <v>9</v>
      </c>
      <c r="G109" s="2">
        <v>0.2</v>
      </c>
      <c r="H109" s="3">
        <v>45580</v>
      </c>
      <c r="I109" s="2">
        <v>769.46</v>
      </c>
    </row>
    <row r="110" spans="1:9" ht="15.75" customHeight="1" x14ac:dyDescent="0.3">
      <c r="A110" s="2" t="s">
        <v>54</v>
      </c>
      <c r="B110" s="2" t="s">
        <v>66</v>
      </c>
      <c r="C110" s="2" t="s">
        <v>34</v>
      </c>
      <c r="D110" s="2" t="s">
        <v>15</v>
      </c>
      <c r="E110" s="2">
        <v>728.71</v>
      </c>
      <c r="F110" s="2">
        <v>14</v>
      </c>
      <c r="G110" s="2">
        <v>0.1</v>
      </c>
      <c r="H110" s="3">
        <v>45581</v>
      </c>
      <c r="I110" s="2">
        <v>327.92</v>
      </c>
    </row>
    <row r="111" spans="1:9" ht="15.75" customHeight="1" x14ac:dyDescent="0.3">
      <c r="A111" s="2" t="s">
        <v>9</v>
      </c>
      <c r="B111" s="2" t="s">
        <v>33</v>
      </c>
      <c r="C111" s="2" t="s">
        <v>34</v>
      </c>
      <c r="D111" s="2" t="s">
        <v>15</v>
      </c>
      <c r="E111" s="2">
        <v>1301.8900000000001</v>
      </c>
      <c r="F111" s="2">
        <v>7</v>
      </c>
      <c r="G111" s="2">
        <v>0.15</v>
      </c>
      <c r="H111" s="3">
        <v>45581</v>
      </c>
      <c r="I111" s="2">
        <v>553.29999999999995</v>
      </c>
    </row>
    <row r="112" spans="1:9" ht="15.75" customHeight="1" x14ac:dyDescent="0.3">
      <c r="A112" s="2" t="s">
        <v>70</v>
      </c>
      <c r="B112" s="2" t="s">
        <v>66</v>
      </c>
      <c r="C112" s="2" t="s">
        <v>18</v>
      </c>
      <c r="D112" s="2" t="s">
        <v>12</v>
      </c>
      <c r="E112" s="2">
        <v>980.18</v>
      </c>
      <c r="F112" s="2">
        <v>16</v>
      </c>
      <c r="G112" s="2">
        <v>0.1</v>
      </c>
      <c r="H112" s="3">
        <v>45582</v>
      </c>
      <c r="I112" s="2">
        <v>352.86</v>
      </c>
    </row>
    <row r="113" spans="1:9" ht="15.75" customHeight="1" x14ac:dyDescent="0.3">
      <c r="A113" s="2" t="s">
        <v>74</v>
      </c>
      <c r="B113" s="2" t="s">
        <v>23</v>
      </c>
      <c r="C113" s="2" t="s">
        <v>11</v>
      </c>
      <c r="D113" s="2" t="s">
        <v>15</v>
      </c>
      <c r="E113" s="2">
        <v>697.57</v>
      </c>
      <c r="F113" s="2">
        <v>17</v>
      </c>
      <c r="G113" s="2">
        <v>0.1</v>
      </c>
      <c r="H113" s="3">
        <v>45584</v>
      </c>
      <c r="I113" s="2">
        <v>313.91000000000003</v>
      </c>
    </row>
    <row r="114" spans="1:9" ht="15.75" customHeight="1" x14ac:dyDescent="0.3">
      <c r="A114" s="2" t="s">
        <v>46</v>
      </c>
      <c r="B114" s="2" t="s">
        <v>71</v>
      </c>
      <c r="C114" s="2" t="s">
        <v>11</v>
      </c>
      <c r="D114" s="2" t="s">
        <v>27</v>
      </c>
      <c r="E114" s="2">
        <v>1193.6099999999999</v>
      </c>
      <c r="F114" s="2">
        <v>1</v>
      </c>
      <c r="G114" s="2">
        <v>0.15</v>
      </c>
      <c r="H114" s="3">
        <v>45584</v>
      </c>
      <c r="I114" s="2">
        <v>355.1</v>
      </c>
    </row>
    <row r="115" spans="1:9" ht="15.75" customHeight="1" x14ac:dyDescent="0.3">
      <c r="A115" s="2" t="s">
        <v>32</v>
      </c>
      <c r="B115" s="2" t="s">
        <v>38</v>
      </c>
      <c r="C115" s="2" t="s">
        <v>20</v>
      </c>
      <c r="D115" s="2" t="s">
        <v>21</v>
      </c>
      <c r="E115" s="2">
        <v>771.02</v>
      </c>
      <c r="F115" s="2">
        <v>1</v>
      </c>
      <c r="G115" s="2">
        <v>0</v>
      </c>
      <c r="H115" s="3">
        <v>45585</v>
      </c>
      <c r="I115" s="2">
        <v>192.76</v>
      </c>
    </row>
    <row r="116" spans="1:9" ht="15.75" customHeight="1" x14ac:dyDescent="0.3">
      <c r="A116" s="2" t="s">
        <v>67</v>
      </c>
      <c r="B116" s="2" t="s">
        <v>69</v>
      </c>
      <c r="C116" s="2" t="s">
        <v>24</v>
      </c>
      <c r="D116" s="2" t="s">
        <v>15</v>
      </c>
      <c r="E116" s="2">
        <v>661.09</v>
      </c>
      <c r="F116" s="2">
        <v>1</v>
      </c>
      <c r="G116" s="2">
        <v>0.2</v>
      </c>
      <c r="H116" s="3">
        <v>45593</v>
      </c>
      <c r="I116" s="2">
        <v>264.44</v>
      </c>
    </row>
    <row r="117" spans="1:9" ht="15.75" customHeight="1" x14ac:dyDescent="0.3">
      <c r="A117" s="2" t="s">
        <v>13</v>
      </c>
      <c r="B117" s="2" t="s">
        <v>55</v>
      </c>
      <c r="C117" s="2" t="s">
        <v>11</v>
      </c>
      <c r="D117" s="2" t="s">
        <v>21</v>
      </c>
      <c r="E117" s="2">
        <v>688.83</v>
      </c>
      <c r="F117" s="2">
        <v>15</v>
      </c>
      <c r="G117" s="2">
        <v>0</v>
      </c>
      <c r="H117" s="3">
        <v>45595</v>
      </c>
      <c r="I117" s="2">
        <v>172.21</v>
      </c>
    </row>
    <row r="118" spans="1:9" ht="15.75" customHeight="1" x14ac:dyDescent="0.3">
      <c r="A118" s="2" t="s">
        <v>73</v>
      </c>
      <c r="B118" s="2" t="s">
        <v>29</v>
      </c>
      <c r="C118" s="2" t="s">
        <v>34</v>
      </c>
      <c r="D118" s="2" t="s">
        <v>12</v>
      </c>
      <c r="E118" s="2">
        <v>1249.0999999999999</v>
      </c>
      <c r="F118" s="2">
        <v>4</v>
      </c>
      <c r="G118" s="2">
        <v>0.05</v>
      </c>
      <c r="H118" s="3">
        <v>45597</v>
      </c>
      <c r="I118" s="2">
        <v>474.66</v>
      </c>
    </row>
    <row r="119" spans="1:9" ht="15.75" customHeight="1" x14ac:dyDescent="0.3">
      <c r="A119" s="2" t="s">
        <v>44</v>
      </c>
      <c r="B119" s="2" t="s">
        <v>23</v>
      </c>
      <c r="C119" s="2" t="s">
        <v>18</v>
      </c>
      <c r="D119" s="2" t="s">
        <v>39</v>
      </c>
      <c r="E119" s="2">
        <v>1014.22</v>
      </c>
      <c r="F119" s="2">
        <v>14</v>
      </c>
      <c r="G119" s="2">
        <v>0.05</v>
      </c>
      <c r="H119" s="3">
        <v>45599</v>
      </c>
      <c r="I119" s="2">
        <v>433.58</v>
      </c>
    </row>
    <row r="120" spans="1:9" ht="15.75" customHeight="1" x14ac:dyDescent="0.3">
      <c r="A120" s="2" t="s">
        <v>54</v>
      </c>
      <c r="B120" s="2" t="s">
        <v>48</v>
      </c>
      <c r="C120" s="2" t="s">
        <v>18</v>
      </c>
      <c r="D120" s="2" t="s">
        <v>12</v>
      </c>
      <c r="E120" s="2">
        <v>1010.58</v>
      </c>
      <c r="F120" s="2">
        <v>2</v>
      </c>
      <c r="G120" s="2">
        <v>0.15</v>
      </c>
      <c r="H120" s="3">
        <v>45605</v>
      </c>
      <c r="I120" s="2">
        <v>343.6</v>
      </c>
    </row>
    <row r="121" spans="1:9" ht="15.75" customHeight="1" x14ac:dyDescent="0.3">
      <c r="A121" s="2" t="s">
        <v>30</v>
      </c>
      <c r="B121" s="2" t="s">
        <v>59</v>
      </c>
      <c r="C121" s="2" t="s">
        <v>24</v>
      </c>
      <c r="D121" s="2" t="s">
        <v>27</v>
      </c>
      <c r="E121" s="2">
        <v>957.29</v>
      </c>
      <c r="F121" s="2">
        <v>4</v>
      </c>
      <c r="G121" s="2">
        <v>0.05</v>
      </c>
      <c r="H121" s="3">
        <v>45605</v>
      </c>
      <c r="I121" s="2">
        <v>318.3</v>
      </c>
    </row>
    <row r="122" spans="1:9" ht="15.75" customHeight="1" x14ac:dyDescent="0.3">
      <c r="A122" s="2" t="s">
        <v>28</v>
      </c>
      <c r="B122" s="2" t="s">
        <v>45</v>
      </c>
      <c r="C122" s="2" t="s">
        <v>24</v>
      </c>
      <c r="D122" s="2" t="s">
        <v>27</v>
      </c>
      <c r="E122" s="2">
        <v>1077.92</v>
      </c>
      <c r="F122" s="2">
        <v>3</v>
      </c>
      <c r="G122" s="2">
        <v>0.05</v>
      </c>
      <c r="H122" s="3">
        <v>45608</v>
      </c>
      <c r="I122" s="2">
        <v>358.41</v>
      </c>
    </row>
    <row r="123" spans="1:9" ht="15.75" customHeight="1" x14ac:dyDescent="0.3">
      <c r="A123" s="2" t="s">
        <v>52</v>
      </c>
      <c r="B123" s="2" t="s">
        <v>50</v>
      </c>
      <c r="C123" s="2" t="s">
        <v>20</v>
      </c>
      <c r="D123" s="2" t="s">
        <v>15</v>
      </c>
      <c r="E123" s="2">
        <v>1163.01</v>
      </c>
      <c r="F123" s="2">
        <v>5</v>
      </c>
      <c r="G123" s="2">
        <v>0</v>
      </c>
      <c r="H123" s="3">
        <v>45611</v>
      </c>
      <c r="I123" s="2">
        <v>581.5</v>
      </c>
    </row>
    <row r="124" spans="1:9" ht="15.75" customHeight="1" x14ac:dyDescent="0.3">
      <c r="A124" s="2" t="s">
        <v>54</v>
      </c>
      <c r="B124" s="2" t="s">
        <v>45</v>
      </c>
      <c r="C124" s="2" t="s">
        <v>18</v>
      </c>
      <c r="D124" s="2" t="s">
        <v>39</v>
      </c>
      <c r="E124" s="2">
        <v>1014.56</v>
      </c>
      <c r="F124" s="2">
        <v>10</v>
      </c>
      <c r="G124" s="2">
        <v>0.1</v>
      </c>
      <c r="H124" s="3">
        <v>45612</v>
      </c>
      <c r="I124" s="2">
        <v>410.9</v>
      </c>
    </row>
    <row r="125" spans="1:9" ht="15.75" customHeight="1" x14ac:dyDescent="0.3">
      <c r="A125" s="2" t="s">
        <v>9</v>
      </c>
      <c r="B125" s="2" t="s">
        <v>17</v>
      </c>
      <c r="C125" s="2" t="s">
        <v>20</v>
      </c>
      <c r="D125" s="2" t="s">
        <v>21</v>
      </c>
      <c r="E125" s="2">
        <v>718.04</v>
      </c>
      <c r="F125" s="2">
        <v>14</v>
      </c>
      <c r="G125" s="2">
        <v>0</v>
      </c>
      <c r="H125" s="3">
        <v>45613</v>
      </c>
      <c r="I125" s="2">
        <v>179.51</v>
      </c>
    </row>
    <row r="126" spans="1:9" ht="15.75" customHeight="1" x14ac:dyDescent="0.3">
      <c r="A126" s="2" t="s">
        <v>72</v>
      </c>
      <c r="B126" s="2" t="s">
        <v>17</v>
      </c>
      <c r="C126" s="2" t="s">
        <v>34</v>
      </c>
      <c r="D126" s="2" t="s">
        <v>15</v>
      </c>
      <c r="E126" s="2">
        <v>1277.8499999999999</v>
      </c>
      <c r="F126" s="2">
        <v>18</v>
      </c>
      <c r="G126" s="2">
        <v>0.2</v>
      </c>
      <c r="H126" s="3">
        <v>45613</v>
      </c>
      <c r="I126" s="2">
        <v>511.14</v>
      </c>
    </row>
    <row r="127" spans="1:9" ht="15.75" customHeight="1" x14ac:dyDescent="0.3">
      <c r="A127" s="2" t="s">
        <v>70</v>
      </c>
      <c r="B127" s="2" t="s">
        <v>23</v>
      </c>
      <c r="C127" s="2" t="s">
        <v>24</v>
      </c>
      <c r="D127" s="2" t="s">
        <v>21</v>
      </c>
      <c r="E127" s="2">
        <v>706.73</v>
      </c>
      <c r="F127" s="2">
        <v>1</v>
      </c>
      <c r="G127" s="2">
        <v>0.15</v>
      </c>
      <c r="H127" s="3">
        <v>45613</v>
      </c>
      <c r="I127" s="2">
        <v>150.18</v>
      </c>
    </row>
    <row r="128" spans="1:9" ht="15.75" customHeight="1" x14ac:dyDescent="0.3">
      <c r="A128" s="2" t="s">
        <v>65</v>
      </c>
      <c r="B128" s="2" t="s">
        <v>50</v>
      </c>
      <c r="C128" s="2" t="s">
        <v>18</v>
      </c>
      <c r="D128" s="2" t="s">
        <v>21</v>
      </c>
      <c r="E128" s="2">
        <v>1410.59</v>
      </c>
      <c r="F128" s="2">
        <v>15</v>
      </c>
      <c r="G128" s="2">
        <v>0</v>
      </c>
      <c r="H128" s="3">
        <v>45615</v>
      </c>
      <c r="I128" s="2">
        <v>352.65</v>
      </c>
    </row>
    <row r="129" spans="1:9" ht="15.75" customHeight="1" x14ac:dyDescent="0.3">
      <c r="A129" s="2" t="s">
        <v>32</v>
      </c>
      <c r="B129" s="2" t="s">
        <v>61</v>
      </c>
      <c r="C129" s="2" t="s">
        <v>20</v>
      </c>
      <c r="D129" s="2" t="s">
        <v>27</v>
      </c>
      <c r="E129" s="2">
        <v>1350.33</v>
      </c>
      <c r="F129" s="2">
        <v>10</v>
      </c>
      <c r="G129" s="2">
        <v>0</v>
      </c>
      <c r="H129" s="3">
        <v>45615</v>
      </c>
      <c r="I129" s="2">
        <v>472.62</v>
      </c>
    </row>
    <row r="130" spans="1:9" ht="15.75" customHeight="1" x14ac:dyDescent="0.3">
      <c r="A130" s="2" t="s">
        <v>41</v>
      </c>
      <c r="B130" s="2" t="s">
        <v>45</v>
      </c>
      <c r="C130" s="2" t="s">
        <v>18</v>
      </c>
      <c r="D130" s="2" t="s">
        <v>21</v>
      </c>
      <c r="E130" s="2">
        <v>919.18</v>
      </c>
      <c r="F130" s="2">
        <v>4</v>
      </c>
      <c r="G130" s="2">
        <v>0.15</v>
      </c>
      <c r="H130" s="3">
        <v>45615</v>
      </c>
      <c r="I130" s="2">
        <v>195.33</v>
      </c>
    </row>
    <row r="131" spans="1:9" ht="15.75" customHeight="1" x14ac:dyDescent="0.3">
      <c r="A131" s="2" t="s">
        <v>74</v>
      </c>
      <c r="B131" s="2" t="s">
        <v>23</v>
      </c>
      <c r="C131" s="2" t="s">
        <v>11</v>
      </c>
      <c r="D131" s="2" t="s">
        <v>21</v>
      </c>
      <c r="E131" s="2">
        <v>258.51</v>
      </c>
      <c r="F131" s="2">
        <v>19</v>
      </c>
      <c r="G131" s="2">
        <v>0</v>
      </c>
      <c r="H131" s="3">
        <v>45616</v>
      </c>
      <c r="I131" s="2">
        <v>64.63</v>
      </c>
    </row>
    <row r="132" spans="1:9" ht="15.75" customHeight="1" x14ac:dyDescent="0.3">
      <c r="A132" s="2" t="s">
        <v>63</v>
      </c>
      <c r="B132" s="2" t="s">
        <v>61</v>
      </c>
      <c r="C132" s="2" t="s">
        <v>18</v>
      </c>
      <c r="D132" s="2" t="s">
        <v>12</v>
      </c>
      <c r="E132" s="2">
        <v>1213.48</v>
      </c>
      <c r="F132" s="2">
        <v>5</v>
      </c>
      <c r="G132" s="2">
        <v>0.05</v>
      </c>
      <c r="H132" s="3">
        <v>45616</v>
      </c>
      <c r="I132" s="2">
        <v>461.12</v>
      </c>
    </row>
    <row r="133" spans="1:9" ht="15.75" customHeight="1" x14ac:dyDescent="0.3">
      <c r="A133" s="2" t="s">
        <v>57</v>
      </c>
      <c r="B133" s="2" t="s">
        <v>38</v>
      </c>
      <c r="C133" s="2" t="s">
        <v>34</v>
      </c>
      <c r="D133" s="2" t="s">
        <v>12</v>
      </c>
      <c r="E133" s="2">
        <v>1150.28</v>
      </c>
      <c r="F133" s="2">
        <v>8</v>
      </c>
      <c r="G133" s="2">
        <v>0.05</v>
      </c>
      <c r="H133" s="3">
        <v>45622</v>
      </c>
      <c r="I133" s="2">
        <v>437.11</v>
      </c>
    </row>
    <row r="134" spans="1:9" ht="15.75" customHeight="1" x14ac:dyDescent="0.3">
      <c r="A134" s="2" t="s">
        <v>37</v>
      </c>
      <c r="B134" s="2" t="s">
        <v>71</v>
      </c>
      <c r="C134" s="2" t="s">
        <v>20</v>
      </c>
      <c r="D134" s="2" t="s">
        <v>27</v>
      </c>
      <c r="E134" s="2">
        <v>853.86</v>
      </c>
      <c r="F134" s="2">
        <v>8</v>
      </c>
      <c r="G134" s="2">
        <v>0.1</v>
      </c>
      <c r="H134" s="3">
        <v>45622</v>
      </c>
      <c r="I134" s="2">
        <v>268.97000000000003</v>
      </c>
    </row>
    <row r="135" spans="1:9" ht="15.75" customHeight="1" x14ac:dyDescent="0.3">
      <c r="A135" s="2" t="s">
        <v>75</v>
      </c>
      <c r="B135" s="2" t="s">
        <v>45</v>
      </c>
      <c r="C135" s="2" t="s">
        <v>20</v>
      </c>
      <c r="D135" s="2" t="s">
        <v>21</v>
      </c>
      <c r="E135" s="2">
        <v>1061.04</v>
      </c>
      <c r="F135" s="2">
        <v>1</v>
      </c>
      <c r="G135" s="2">
        <v>0</v>
      </c>
      <c r="H135" s="3">
        <v>45624</v>
      </c>
      <c r="I135" s="2">
        <v>265.26</v>
      </c>
    </row>
    <row r="136" spans="1:9" ht="15.75" customHeight="1" x14ac:dyDescent="0.3">
      <c r="A136" s="2" t="s">
        <v>28</v>
      </c>
      <c r="B136" s="2" t="s">
        <v>43</v>
      </c>
      <c r="C136" s="2" t="s">
        <v>11</v>
      </c>
      <c r="D136" s="2" t="s">
        <v>21</v>
      </c>
      <c r="E136" s="2">
        <v>894.55</v>
      </c>
      <c r="F136" s="2">
        <v>19</v>
      </c>
      <c r="G136" s="2">
        <v>0.2</v>
      </c>
      <c r="H136" s="3">
        <v>45625</v>
      </c>
      <c r="I136" s="2">
        <v>178.91</v>
      </c>
    </row>
    <row r="137" spans="1:9" ht="15.75" customHeight="1" x14ac:dyDescent="0.3">
      <c r="A137" s="2" t="s">
        <v>25</v>
      </c>
      <c r="B137" s="2" t="s">
        <v>38</v>
      </c>
      <c r="C137" s="2" t="s">
        <v>24</v>
      </c>
      <c r="D137" s="2" t="s">
        <v>39</v>
      </c>
      <c r="E137" s="2">
        <v>833.91</v>
      </c>
      <c r="F137" s="2">
        <v>3</v>
      </c>
      <c r="G137" s="2">
        <v>0.05</v>
      </c>
      <c r="H137" s="3">
        <v>45626</v>
      </c>
      <c r="I137" s="2">
        <v>356.5</v>
      </c>
    </row>
    <row r="138" spans="1:9" ht="15.75" customHeight="1" x14ac:dyDescent="0.3">
      <c r="A138" s="2" t="s">
        <v>58</v>
      </c>
      <c r="B138" s="2" t="s">
        <v>71</v>
      </c>
      <c r="C138" s="2" t="s">
        <v>11</v>
      </c>
      <c r="D138" s="2" t="s">
        <v>27</v>
      </c>
      <c r="E138" s="2">
        <v>820.19</v>
      </c>
      <c r="F138" s="2">
        <v>4</v>
      </c>
      <c r="G138" s="2">
        <v>0.2</v>
      </c>
      <c r="H138" s="3">
        <v>45630</v>
      </c>
      <c r="I138" s="2">
        <v>229.65</v>
      </c>
    </row>
    <row r="139" spans="1:9" ht="15.75" customHeight="1" x14ac:dyDescent="0.3">
      <c r="A139" s="2" t="s">
        <v>58</v>
      </c>
      <c r="B139" s="2" t="s">
        <v>38</v>
      </c>
      <c r="C139" s="2" t="s">
        <v>34</v>
      </c>
      <c r="D139" s="2" t="s">
        <v>21</v>
      </c>
      <c r="E139" s="2">
        <v>511.74</v>
      </c>
      <c r="F139" s="2">
        <v>8</v>
      </c>
      <c r="G139" s="2">
        <v>0.05</v>
      </c>
      <c r="H139" s="3">
        <v>45631</v>
      </c>
      <c r="I139" s="2">
        <v>121.54</v>
      </c>
    </row>
    <row r="140" spans="1:9" ht="15.75" customHeight="1" x14ac:dyDescent="0.3">
      <c r="A140" s="2" t="s">
        <v>65</v>
      </c>
      <c r="B140" s="2" t="s">
        <v>61</v>
      </c>
      <c r="C140" s="2" t="s">
        <v>20</v>
      </c>
      <c r="D140" s="2" t="s">
        <v>27</v>
      </c>
      <c r="E140" s="2">
        <v>806.03</v>
      </c>
      <c r="F140" s="2">
        <v>19</v>
      </c>
      <c r="G140" s="2">
        <v>0.05</v>
      </c>
      <c r="H140" s="3">
        <v>45638</v>
      </c>
      <c r="I140" s="2">
        <v>268</v>
      </c>
    </row>
    <row r="141" spans="1:9" ht="15.75" customHeight="1" x14ac:dyDescent="0.3">
      <c r="A141" s="2" t="s">
        <v>28</v>
      </c>
      <c r="B141" s="2" t="s">
        <v>26</v>
      </c>
      <c r="C141" s="2" t="s">
        <v>34</v>
      </c>
      <c r="D141" s="2" t="s">
        <v>27</v>
      </c>
      <c r="E141" s="2">
        <v>1432.47</v>
      </c>
      <c r="F141" s="2">
        <v>16</v>
      </c>
      <c r="G141" s="2">
        <v>0.15</v>
      </c>
      <c r="H141" s="3">
        <v>45640</v>
      </c>
      <c r="I141" s="2">
        <v>426.16</v>
      </c>
    </row>
    <row r="142" spans="1:9" ht="15.75" customHeight="1" x14ac:dyDescent="0.3">
      <c r="A142" s="2" t="s">
        <v>74</v>
      </c>
      <c r="B142" s="2" t="s">
        <v>29</v>
      </c>
      <c r="C142" s="2" t="s">
        <v>34</v>
      </c>
      <c r="D142" s="2" t="s">
        <v>21</v>
      </c>
      <c r="E142" s="2">
        <v>1488.58</v>
      </c>
      <c r="F142" s="2">
        <v>10</v>
      </c>
      <c r="G142" s="2">
        <v>0.15</v>
      </c>
      <c r="H142" s="3">
        <v>45640</v>
      </c>
      <c r="I142" s="2">
        <v>316.32</v>
      </c>
    </row>
    <row r="143" spans="1:9" ht="15.75" customHeight="1" x14ac:dyDescent="0.3">
      <c r="A143" s="2" t="s">
        <v>30</v>
      </c>
      <c r="B143" s="2" t="s">
        <v>66</v>
      </c>
      <c r="C143" s="2" t="s">
        <v>18</v>
      </c>
      <c r="D143" s="2" t="s">
        <v>12</v>
      </c>
      <c r="E143" s="2">
        <v>1231.26</v>
      </c>
      <c r="F143" s="2">
        <v>9</v>
      </c>
      <c r="G143" s="2">
        <v>0</v>
      </c>
      <c r="H143" s="3">
        <v>45646</v>
      </c>
      <c r="I143" s="2">
        <v>492.5</v>
      </c>
    </row>
    <row r="144" spans="1:9" ht="15.75" customHeight="1" x14ac:dyDescent="0.3">
      <c r="A144" s="2" t="s">
        <v>30</v>
      </c>
      <c r="B144" s="2" t="s">
        <v>43</v>
      </c>
      <c r="C144" s="2" t="s">
        <v>11</v>
      </c>
      <c r="D144" s="2" t="s">
        <v>21</v>
      </c>
      <c r="E144" s="2">
        <v>1161.67</v>
      </c>
      <c r="F144" s="2">
        <v>19</v>
      </c>
      <c r="G144" s="2">
        <v>0.2</v>
      </c>
      <c r="H144" s="3">
        <v>45647</v>
      </c>
      <c r="I144" s="2">
        <v>232.33</v>
      </c>
    </row>
    <row r="145" spans="1:9" ht="15.75" customHeight="1" x14ac:dyDescent="0.3">
      <c r="A145" s="2" t="s">
        <v>49</v>
      </c>
      <c r="B145" s="2" t="s">
        <v>45</v>
      </c>
      <c r="C145" s="2" t="s">
        <v>34</v>
      </c>
      <c r="D145" s="2" t="s">
        <v>39</v>
      </c>
      <c r="E145" s="2">
        <v>388.23</v>
      </c>
      <c r="F145" s="2">
        <v>16</v>
      </c>
      <c r="G145" s="2">
        <v>0.05</v>
      </c>
      <c r="H145" s="3">
        <v>45650</v>
      </c>
      <c r="I145" s="2">
        <v>165.97</v>
      </c>
    </row>
    <row r="146" spans="1:9" ht="15.75" customHeight="1" x14ac:dyDescent="0.3">
      <c r="A146" s="2" t="s">
        <v>72</v>
      </c>
      <c r="B146" s="2" t="s">
        <v>31</v>
      </c>
      <c r="C146" s="2" t="s">
        <v>24</v>
      </c>
      <c r="D146" s="2" t="s">
        <v>15</v>
      </c>
      <c r="E146" s="2">
        <v>1589.42</v>
      </c>
      <c r="F146" s="2">
        <v>6</v>
      </c>
      <c r="G146" s="2">
        <v>0.15</v>
      </c>
      <c r="H146" s="3">
        <v>45651</v>
      </c>
      <c r="I146" s="2">
        <v>675.5</v>
      </c>
    </row>
    <row r="147" spans="1:9" ht="15.75" customHeight="1" x14ac:dyDescent="0.3">
      <c r="A147" s="2" t="s">
        <v>28</v>
      </c>
      <c r="B147" s="2" t="s">
        <v>71</v>
      </c>
      <c r="C147" s="2" t="s">
        <v>24</v>
      </c>
      <c r="D147" s="2" t="s">
        <v>15</v>
      </c>
      <c r="E147" s="2">
        <v>336.66</v>
      </c>
      <c r="F147" s="2">
        <v>13</v>
      </c>
      <c r="G147" s="2">
        <v>0.2</v>
      </c>
      <c r="H147" s="3">
        <v>45651</v>
      </c>
      <c r="I147" s="2">
        <v>134.66</v>
      </c>
    </row>
    <row r="148" spans="1:9" ht="15.75" customHeight="1" x14ac:dyDescent="0.3">
      <c r="A148" s="2" t="s">
        <v>49</v>
      </c>
      <c r="B148" s="2" t="s">
        <v>23</v>
      </c>
      <c r="C148" s="2" t="s">
        <v>11</v>
      </c>
      <c r="D148" s="2" t="s">
        <v>12</v>
      </c>
      <c r="E148" s="2">
        <v>1353.79</v>
      </c>
      <c r="F148" s="2">
        <v>14</v>
      </c>
      <c r="G148" s="2">
        <v>0.1</v>
      </c>
      <c r="H148" s="3">
        <v>45656</v>
      </c>
      <c r="I148" s="2">
        <v>487.36</v>
      </c>
    </row>
    <row r="149" spans="1:9" ht="15.75" customHeight="1" x14ac:dyDescent="0.3">
      <c r="A149" s="2" t="s">
        <v>63</v>
      </c>
      <c r="B149" s="2" t="s">
        <v>69</v>
      </c>
      <c r="C149" s="2" t="s">
        <v>34</v>
      </c>
      <c r="D149" s="2" t="s">
        <v>15</v>
      </c>
      <c r="E149" s="2">
        <v>662.61</v>
      </c>
      <c r="F149" s="2">
        <v>11</v>
      </c>
      <c r="G149" s="2">
        <v>0.05</v>
      </c>
      <c r="H149" s="3">
        <v>45658</v>
      </c>
      <c r="I149" s="2">
        <v>314.74</v>
      </c>
    </row>
    <row r="150" spans="1:9" ht="15.75" customHeight="1" x14ac:dyDescent="0.3">
      <c r="A150" s="2" t="s">
        <v>52</v>
      </c>
      <c r="B150" s="2" t="s">
        <v>48</v>
      </c>
      <c r="C150" s="2" t="s">
        <v>24</v>
      </c>
      <c r="D150" s="2" t="s">
        <v>39</v>
      </c>
      <c r="E150" s="2">
        <v>309.42</v>
      </c>
      <c r="F150" s="2">
        <v>1</v>
      </c>
      <c r="G150" s="2">
        <v>0.2</v>
      </c>
      <c r="H150" s="3">
        <v>45658</v>
      </c>
      <c r="I150" s="2">
        <v>111.39</v>
      </c>
    </row>
    <row r="151" spans="1:9" ht="15.75" customHeight="1" x14ac:dyDescent="0.3">
      <c r="A151" s="2" t="s">
        <v>63</v>
      </c>
      <c r="B151" s="2" t="s">
        <v>29</v>
      </c>
      <c r="C151" s="2" t="s">
        <v>24</v>
      </c>
      <c r="D151" s="2" t="s">
        <v>12</v>
      </c>
      <c r="E151" s="2">
        <v>884.63</v>
      </c>
      <c r="F151" s="2">
        <v>18</v>
      </c>
      <c r="G151" s="2">
        <v>0.1</v>
      </c>
      <c r="H151" s="3">
        <v>45659</v>
      </c>
      <c r="I151" s="2">
        <v>318.47000000000003</v>
      </c>
    </row>
    <row r="152" spans="1:9" ht="15.75" customHeight="1" x14ac:dyDescent="0.3">
      <c r="A152" s="2" t="s">
        <v>52</v>
      </c>
      <c r="B152" s="2" t="s">
        <v>23</v>
      </c>
      <c r="C152" s="2" t="s">
        <v>34</v>
      </c>
      <c r="D152" s="2" t="s">
        <v>39</v>
      </c>
      <c r="E152" s="2">
        <v>745.05</v>
      </c>
      <c r="F152" s="2">
        <v>10</v>
      </c>
      <c r="G152" s="2">
        <v>0.1</v>
      </c>
      <c r="H152" s="3">
        <v>45660</v>
      </c>
      <c r="I152" s="2">
        <v>301.75</v>
      </c>
    </row>
    <row r="153" spans="1:9" ht="15.75" customHeight="1" x14ac:dyDescent="0.3">
      <c r="A153" s="2" t="s">
        <v>60</v>
      </c>
      <c r="B153" s="2" t="s">
        <v>17</v>
      </c>
      <c r="C153" s="2" t="s">
        <v>20</v>
      </c>
      <c r="D153" s="2" t="s">
        <v>15</v>
      </c>
      <c r="E153" s="2">
        <v>870.23</v>
      </c>
      <c r="F153" s="2">
        <v>5</v>
      </c>
      <c r="G153" s="2">
        <v>0.05</v>
      </c>
      <c r="H153" s="3">
        <v>45660</v>
      </c>
      <c r="I153" s="2">
        <v>413.36</v>
      </c>
    </row>
    <row r="154" spans="1:9" ht="15.75" customHeight="1" x14ac:dyDescent="0.3">
      <c r="A154" s="2" t="s">
        <v>35</v>
      </c>
      <c r="B154" s="2" t="s">
        <v>29</v>
      </c>
      <c r="C154" s="2" t="s">
        <v>11</v>
      </c>
      <c r="D154" s="2" t="s">
        <v>27</v>
      </c>
      <c r="E154" s="2">
        <v>862.19</v>
      </c>
      <c r="F154" s="2">
        <v>18</v>
      </c>
      <c r="G154" s="2">
        <v>0.05</v>
      </c>
      <c r="H154" s="3">
        <v>45663</v>
      </c>
      <c r="I154" s="2">
        <v>286.68</v>
      </c>
    </row>
    <row r="155" spans="1:9" ht="15.75" customHeight="1" x14ac:dyDescent="0.3">
      <c r="A155" s="2" t="s">
        <v>73</v>
      </c>
      <c r="B155" s="2" t="s">
        <v>59</v>
      </c>
      <c r="C155" s="2" t="s">
        <v>24</v>
      </c>
      <c r="D155" s="2" t="s">
        <v>15</v>
      </c>
      <c r="E155" s="2">
        <v>1171.18</v>
      </c>
      <c r="F155" s="2">
        <v>19</v>
      </c>
      <c r="G155" s="2">
        <v>0.05</v>
      </c>
      <c r="H155" s="3">
        <v>45667</v>
      </c>
      <c r="I155" s="2">
        <v>556.30999999999995</v>
      </c>
    </row>
    <row r="156" spans="1:9" ht="15.75" customHeight="1" x14ac:dyDescent="0.3">
      <c r="A156" s="2" t="s">
        <v>58</v>
      </c>
      <c r="B156" s="2" t="s">
        <v>14</v>
      </c>
      <c r="C156" s="2" t="s">
        <v>20</v>
      </c>
      <c r="D156" s="2" t="s">
        <v>27</v>
      </c>
      <c r="E156" s="2">
        <v>1054.56</v>
      </c>
      <c r="F156" s="2">
        <v>11</v>
      </c>
      <c r="G156" s="2">
        <v>0.1</v>
      </c>
      <c r="H156" s="3">
        <v>45669</v>
      </c>
      <c r="I156" s="2">
        <v>332.19</v>
      </c>
    </row>
    <row r="157" spans="1:9" ht="15.75" customHeight="1" x14ac:dyDescent="0.3">
      <c r="A157" s="2" t="s">
        <v>58</v>
      </c>
      <c r="B157" s="2" t="s">
        <v>23</v>
      </c>
      <c r="C157" s="2" t="s">
        <v>24</v>
      </c>
      <c r="D157" s="2" t="s">
        <v>21</v>
      </c>
      <c r="E157" s="2">
        <v>1681.21</v>
      </c>
      <c r="F157" s="2">
        <v>5</v>
      </c>
      <c r="G157" s="2">
        <v>0.2</v>
      </c>
      <c r="H157" s="3">
        <v>45670</v>
      </c>
      <c r="I157" s="2">
        <v>336.24</v>
      </c>
    </row>
    <row r="158" spans="1:9" ht="15.75" customHeight="1" x14ac:dyDescent="0.3">
      <c r="A158" s="2" t="s">
        <v>58</v>
      </c>
      <c r="B158" s="2" t="s">
        <v>36</v>
      </c>
      <c r="C158" s="2" t="s">
        <v>11</v>
      </c>
      <c r="D158" s="2" t="s">
        <v>15</v>
      </c>
      <c r="E158" s="2">
        <v>379.77</v>
      </c>
      <c r="F158" s="2">
        <v>9</v>
      </c>
      <c r="G158" s="2">
        <v>0.05</v>
      </c>
      <c r="H158" s="3">
        <v>45673</v>
      </c>
      <c r="I158" s="2">
        <v>180.39</v>
      </c>
    </row>
    <row r="159" spans="1:9" ht="15.75" customHeight="1" x14ac:dyDescent="0.3">
      <c r="A159" s="2" t="s">
        <v>44</v>
      </c>
      <c r="B159" s="2" t="s">
        <v>45</v>
      </c>
      <c r="C159" s="2" t="s">
        <v>34</v>
      </c>
      <c r="D159" s="2" t="s">
        <v>15</v>
      </c>
      <c r="E159" s="2">
        <v>1076.33</v>
      </c>
      <c r="F159" s="2">
        <v>2</v>
      </c>
      <c r="G159" s="2">
        <v>0.1</v>
      </c>
      <c r="H159" s="3">
        <v>45674</v>
      </c>
      <c r="I159" s="2">
        <v>484.35</v>
      </c>
    </row>
    <row r="160" spans="1:9" ht="15.75" customHeight="1" x14ac:dyDescent="0.3">
      <c r="A160" s="2" t="s">
        <v>44</v>
      </c>
      <c r="B160" s="2" t="s">
        <v>31</v>
      </c>
      <c r="C160" s="2" t="s">
        <v>34</v>
      </c>
      <c r="D160" s="2" t="s">
        <v>39</v>
      </c>
      <c r="E160" s="2">
        <v>1250.71</v>
      </c>
      <c r="F160" s="2">
        <v>7</v>
      </c>
      <c r="G160" s="2">
        <v>0</v>
      </c>
      <c r="H160" s="3">
        <v>45674</v>
      </c>
      <c r="I160" s="2">
        <v>562.82000000000005</v>
      </c>
    </row>
    <row r="161" spans="1:9" ht="15.75" customHeight="1" x14ac:dyDescent="0.3">
      <c r="A161" s="2" t="s">
        <v>40</v>
      </c>
      <c r="B161" s="2" t="s">
        <v>17</v>
      </c>
      <c r="C161" s="2" t="s">
        <v>20</v>
      </c>
      <c r="D161" s="2" t="s">
        <v>15</v>
      </c>
      <c r="E161" s="2">
        <v>1118.3399999999999</v>
      </c>
      <c r="F161" s="2">
        <v>6</v>
      </c>
      <c r="G161" s="2">
        <v>0.2</v>
      </c>
      <c r="H161" s="3">
        <v>45674</v>
      </c>
      <c r="I161" s="2">
        <v>447.34</v>
      </c>
    </row>
    <row r="162" spans="1:9" ht="15.75" customHeight="1" x14ac:dyDescent="0.3">
      <c r="A162" s="2" t="s">
        <v>70</v>
      </c>
      <c r="B162" s="2" t="s">
        <v>53</v>
      </c>
      <c r="C162" s="2" t="s">
        <v>24</v>
      </c>
      <c r="D162" s="2" t="s">
        <v>15</v>
      </c>
      <c r="E162" s="2">
        <v>1622.62</v>
      </c>
      <c r="F162" s="2">
        <v>12</v>
      </c>
      <c r="G162" s="2">
        <v>0.2</v>
      </c>
      <c r="H162" s="3">
        <v>45677</v>
      </c>
      <c r="I162" s="2">
        <v>649.04999999999995</v>
      </c>
    </row>
    <row r="163" spans="1:9" ht="15.75" customHeight="1" x14ac:dyDescent="0.3">
      <c r="A163" s="2" t="s">
        <v>75</v>
      </c>
      <c r="B163" s="2" t="s">
        <v>48</v>
      </c>
      <c r="C163" s="2" t="s">
        <v>24</v>
      </c>
      <c r="D163" s="2" t="s">
        <v>12</v>
      </c>
      <c r="E163" s="2">
        <v>640.64</v>
      </c>
      <c r="F163" s="2">
        <v>11</v>
      </c>
      <c r="G163" s="2">
        <v>0.2</v>
      </c>
      <c r="H163" s="3">
        <v>45678</v>
      </c>
      <c r="I163" s="2">
        <v>205</v>
      </c>
    </row>
    <row r="164" spans="1:9" ht="15.75" customHeight="1" x14ac:dyDescent="0.3">
      <c r="A164" s="2" t="s">
        <v>22</v>
      </c>
      <c r="B164" s="2" t="s">
        <v>43</v>
      </c>
      <c r="C164" s="2" t="s">
        <v>11</v>
      </c>
      <c r="D164" s="2" t="s">
        <v>15</v>
      </c>
      <c r="E164" s="2">
        <v>585.16</v>
      </c>
      <c r="F164" s="2">
        <v>17</v>
      </c>
      <c r="G164" s="2">
        <v>0.1</v>
      </c>
      <c r="H164" s="3">
        <v>45684</v>
      </c>
      <c r="I164" s="2">
        <v>263.32</v>
      </c>
    </row>
    <row r="165" spans="1:9" ht="15.75" customHeight="1" x14ac:dyDescent="0.3">
      <c r="A165" s="2" t="s">
        <v>22</v>
      </c>
      <c r="B165" s="2" t="s">
        <v>31</v>
      </c>
      <c r="C165" s="2" t="s">
        <v>18</v>
      </c>
      <c r="D165" s="2" t="s">
        <v>15</v>
      </c>
      <c r="E165" s="2">
        <v>1109.98</v>
      </c>
      <c r="F165" s="2">
        <v>5</v>
      </c>
      <c r="G165" s="2">
        <v>0.2</v>
      </c>
      <c r="H165" s="3">
        <v>45690</v>
      </c>
      <c r="I165" s="2">
        <v>443.99</v>
      </c>
    </row>
    <row r="166" spans="1:9" ht="15.75" customHeight="1" x14ac:dyDescent="0.3">
      <c r="A166" s="2" t="s">
        <v>58</v>
      </c>
      <c r="B166" s="2" t="s">
        <v>45</v>
      </c>
      <c r="C166" s="2" t="s">
        <v>18</v>
      </c>
      <c r="D166" s="2" t="s">
        <v>12</v>
      </c>
      <c r="E166" s="2">
        <v>1098.08</v>
      </c>
      <c r="F166" s="2">
        <v>9</v>
      </c>
      <c r="G166" s="2">
        <v>0.1</v>
      </c>
      <c r="H166" s="3">
        <v>45692</v>
      </c>
      <c r="I166" s="2">
        <v>395.31</v>
      </c>
    </row>
    <row r="167" spans="1:9" ht="15.75" customHeight="1" x14ac:dyDescent="0.3">
      <c r="A167" s="2" t="s">
        <v>65</v>
      </c>
      <c r="B167" s="2" t="s">
        <v>48</v>
      </c>
      <c r="C167" s="2" t="s">
        <v>11</v>
      </c>
      <c r="D167" s="2" t="s">
        <v>39</v>
      </c>
      <c r="E167" s="2">
        <v>827.25</v>
      </c>
      <c r="F167" s="2">
        <v>7</v>
      </c>
      <c r="G167" s="2">
        <v>0.1</v>
      </c>
      <c r="H167" s="3">
        <v>45693</v>
      </c>
      <c r="I167" s="2">
        <v>335.04</v>
      </c>
    </row>
    <row r="168" spans="1:9" ht="15.75" customHeight="1" x14ac:dyDescent="0.3">
      <c r="A168" s="2" t="s">
        <v>70</v>
      </c>
      <c r="B168" s="2" t="s">
        <v>29</v>
      </c>
      <c r="C168" s="2" t="s">
        <v>34</v>
      </c>
      <c r="D168" s="2" t="s">
        <v>15</v>
      </c>
      <c r="E168" s="2">
        <v>741.88</v>
      </c>
      <c r="F168" s="2">
        <v>16</v>
      </c>
      <c r="G168" s="2">
        <v>0.1</v>
      </c>
      <c r="H168" s="3">
        <v>45695</v>
      </c>
      <c r="I168" s="2">
        <v>333.85</v>
      </c>
    </row>
    <row r="169" spans="1:9" ht="15.75" customHeight="1" x14ac:dyDescent="0.3">
      <c r="A169" s="2" t="s">
        <v>72</v>
      </c>
      <c r="B169" s="2" t="s">
        <v>10</v>
      </c>
      <c r="C169" s="2" t="s">
        <v>18</v>
      </c>
      <c r="D169" s="2" t="s">
        <v>39</v>
      </c>
      <c r="E169" s="2">
        <v>1311.26</v>
      </c>
      <c r="F169" s="2">
        <v>6</v>
      </c>
      <c r="G169" s="2">
        <v>0.1</v>
      </c>
      <c r="H169" s="3">
        <v>45698</v>
      </c>
      <c r="I169" s="2">
        <v>531.05999999999995</v>
      </c>
    </row>
    <row r="170" spans="1:9" ht="15.75" customHeight="1" x14ac:dyDescent="0.3">
      <c r="A170" s="2" t="s">
        <v>72</v>
      </c>
      <c r="B170" s="2" t="s">
        <v>31</v>
      </c>
      <c r="C170" s="2" t="s">
        <v>20</v>
      </c>
      <c r="D170" s="2" t="s">
        <v>39</v>
      </c>
      <c r="E170" s="2">
        <v>573.32000000000005</v>
      </c>
      <c r="F170" s="2">
        <v>19</v>
      </c>
      <c r="G170" s="2">
        <v>0.1</v>
      </c>
      <c r="H170" s="3">
        <v>45703</v>
      </c>
      <c r="I170" s="2">
        <v>232.19</v>
      </c>
    </row>
    <row r="171" spans="1:9" ht="15.75" customHeight="1" x14ac:dyDescent="0.3">
      <c r="A171" s="2" t="s">
        <v>52</v>
      </c>
      <c r="B171" s="2" t="s">
        <v>23</v>
      </c>
      <c r="C171" s="2" t="s">
        <v>11</v>
      </c>
      <c r="D171" s="2" t="s">
        <v>21</v>
      </c>
      <c r="E171" s="2">
        <v>1115.22</v>
      </c>
      <c r="F171" s="2">
        <v>14</v>
      </c>
      <c r="G171" s="2">
        <v>0.2</v>
      </c>
      <c r="H171" s="3">
        <v>45705</v>
      </c>
      <c r="I171" s="2">
        <v>223.04</v>
      </c>
    </row>
    <row r="172" spans="1:9" ht="15.75" customHeight="1" x14ac:dyDescent="0.3">
      <c r="A172" s="2" t="s">
        <v>13</v>
      </c>
      <c r="B172" s="2" t="s">
        <v>45</v>
      </c>
      <c r="C172" s="2" t="s">
        <v>24</v>
      </c>
      <c r="D172" s="2" t="s">
        <v>15</v>
      </c>
      <c r="E172" s="2">
        <v>845.84</v>
      </c>
      <c r="F172" s="2">
        <v>4</v>
      </c>
      <c r="G172" s="2">
        <v>0</v>
      </c>
      <c r="H172" s="3">
        <v>45707</v>
      </c>
      <c r="I172" s="2">
        <v>422.92</v>
      </c>
    </row>
    <row r="173" spans="1:9" ht="15.75" customHeight="1" x14ac:dyDescent="0.3">
      <c r="A173" s="2" t="s">
        <v>30</v>
      </c>
      <c r="B173" s="2" t="s">
        <v>55</v>
      </c>
      <c r="C173" s="2" t="s">
        <v>11</v>
      </c>
      <c r="D173" s="2" t="s">
        <v>21</v>
      </c>
      <c r="E173" s="2">
        <v>1029.8</v>
      </c>
      <c r="F173" s="2">
        <v>3</v>
      </c>
      <c r="G173" s="2">
        <v>0</v>
      </c>
      <c r="H173" s="3">
        <v>45708</v>
      </c>
      <c r="I173" s="2">
        <v>257.45</v>
      </c>
    </row>
    <row r="174" spans="1:9" ht="15.75" customHeight="1" x14ac:dyDescent="0.3">
      <c r="A174" s="2" t="s">
        <v>32</v>
      </c>
      <c r="B174" s="2" t="s">
        <v>31</v>
      </c>
      <c r="C174" s="2" t="s">
        <v>24</v>
      </c>
      <c r="D174" s="2" t="s">
        <v>12</v>
      </c>
      <c r="E174" s="2">
        <v>1189.83</v>
      </c>
      <c r="F174" s="2">
        <v>2</v>
      </c>
      <c r="G174" s="2">
        <v>0.2</v>
      </c>
      <c r="H174" s="3">
        <v>45709</v>
      </c>
      <c r="I174" s="2">
        <v>380.75</v>
      </c>
    </row>
    <row r="175" spans="1:9" ht="15.75" customHeight="1" x14ac:dyDescent="0.3">
      <c r="A175" s="2" t="s">
        <v>67</v>
      </c>
      <c r="B175" s="2" t="s">
        <v>43</v>
      </c>
      <c r="C175" s="2" t="s">
        <v>20</v>
      </c>
      <c r="D175" s="2" t="s">
        <v>12</v>
      </c>
      <c r="E175" s="2">
        <v>704.28</v>
      </c>
      <c r="F175" s="2">
        <v>15</v>
      </c>
      <c r="G175" s="2">
        <v>0.2</v>
      </c>
      <c r="H175" s="3">
        <v>45712</v>
      </c>
      <c r="I175" s="2">
        <v>225.37</v>
      </c>
    </row>
    <row r="176" spans="1:9" ht="15.75" customHeight="1" x14ac:dyDescent="0.3">
      <c r="A176" s="2" t="s">
        <v>65</v>
      </c>
      <c r="B176" s="2" t="s">
        <v>47</v>
      </c>
      <c r="C176" s="2" t="s">
        <v>34</v>
      </c>
      <c r="D176" s="2" t="s">
        <v>39</v>
      </c>
      <c r="E176" s="2">
        <v>1618.22</v>
      </c>
      <c r="F176" s="2">
        <v>12</v>
      </c>
      <c r="G176" s="2">
        <v>0.2</v>
      </c>
      <c r="H176" s="3">
        <v>45712</v>
      </c>
      <c r="I176" s="2">
        <v>582.55999999999995</v>
      </c>
    </row>
    <row r="177" spans="1:9" ht="15.75" customHeight="1" x14ac:dyDescent="0.3">
      <c r="A177" s="2" t="s">
        <v>73</v>
      </c>
      <c r="B177" s="2" t="s">
        <v>53</v>
      </c>
      <c r="C177" s="2" t="s">
        <v>34</v>
      </c>
      <c r="D177" s="2" t="s">
        <v>12</v>
      </c>
      <c r="E177" s="2">
        <v>1014.43</v>
      </c>
      <c r="F177" s="2">
        <v>2</v>
      </c>
      <c r="G177" s="2">
        <v>0.15</v>
      </c>
      <c r="H177" s="3">
        <v>45713</v>
      </c>
      <c r="I177" s="2">
        <v>344.91</v>
      </c>
    </row>
    <row r="178" spans="1:9" ht="15.75" customHeight="1" x14ac:dyDescent="0.3">
      <c r="A178" s="2" t="s">
        <v>75</v>
      </c>
      <c r="B178" s="2" t="s">
        <v>31</v>
      </c>
      <c r="C178" s="2" t="s">
        <v>34</v>
      </c>
      <c r="D178" s="2" t="s">
        <v>15</v>
      </c>
      <c r="E178" s="2">
        <v>826.97</v>
      </c>
      <c r="F178" s="2">
        <v>18</v>
      </c>
      <c r="G178" s="2">
        <v>0.2</v>
      </c>
      <c r="H178" s="3">
        <v>45715</v>
      </c>
      <c r="I178" s="2">
        <v>330.79</v>
      </c>
    </row>
    <row r="179" spans="1:9" ht="15.75" customHeight="1" x14ac:dyDescent="0.3">
      <c r="A179" s="2" t="s">
        <v>16</v>
      </c>
      <c r="B179" s="2" t="s">
        <v>31</v>
      </c>
      <c r="C179" s="2" t="s">
        <v>34</v>
      </c>
      <c r="D179" s="2" t="s">
        <v>15</v>
      </c>
      <c r="E179" s="2">
        <v>1022.23</v>
      </c>
      <c r="F179" s="2">
        <v>8</v>
      </c>
      <c r="G179" s="2">
        <v>0.1</v>
      </c>
      <c r="H179" s="3">
        <v>45717</v>
      </c>
      <c r="I179" s="2">
        <v>460</v>
      </c>
    </row>
    <row r="180" spans="1:9" ht="15.75" customHeight="1" x14ac:dyDescent="0.3">
      <c r="A180" s="2" t="s">
        <v>72</v>
      </c>
      <c r="B180" s="2" t="s">
        <v>29</v>
      </c>
      <c r="C180" s="2" t="s">
        <v>18</v>
      </c>
      <c r="D180" s="2" t="s">
        <v>12</v>
      </c>
      <c r="E180" s="2">
        <v>1099.69</v>
      </c>
      <c r="F180" s="2">
        <v>6</v>
      </c>
      <c r="G180" s="2">
        <v>0</v>
      </c>
      <c r="H180" s="3">
        <v>45718</v>
      </c>
      <c r="I180" s="2">
        <v>439.88</v>
      </c>
    </row>
    <row r="181" spans="1:9" ht="15.75" customHeight="1" x14ac:dyDescent="0.3">
      <c r="A181" s="2" t="s">
        <v>52</v>
      </c>
      <c r="B181" s="2" t="s">
        <v>64</v>
      </c>
      <c r="C181" s="2" t="s">
        <v>24</v>
      </c>
      <c r="D181" s="2" t="s">
        <v>12</v>
      </c>
      <c r="E181" s="2">
        <v>710.52</v>
      </c>
      <c r="F181" s="2">
        <v>8</v>
      </c>
      <c r="G181" s="2">
        <v>0.1</v>
      </c>
      <c r="H181" s="3">
        <v>45721</v>
      </c>
      <c r="I181" s="2">
        <v>255.79</v>
      </c>
    </row>
    <row r="182" spans="1:9" ht="15.75" customHeight="1" x14ac:dyDescent="0.3">
      <c r="A182" s="2" t="s">
        <v>52</v>
      </c>
      <c r="B182" s="2" t="s">
        <v>59</v>
      </c>
      <c r="C182" s="2" t="s">
        <v>24</v>
      </c>
      <c r="D182" s="2" t="s">
        <v>12</v>
      </c>
      <c r="E182" s="2">
        <v>499.18</v>
      </c>
      <c r="F182" s="2">
        <v>15</v>
      </c>
      <c r="G182" s="2">
        <v>0.2</v>
      </c>
      <c r="H182" s="3">
        <v>45724</v>
      </c>
      <c r="I182" s="2">
        <v>159.74</v>
      </c>
    </row>
    <row r="183" spans="1:9" ht="15.75" customHeight="1" x14ac:dyDescent="0.3">
      <c r="A183" s="2" t="s">
        <v>37</v>
      </c>
      <c r="B183" s="2" t="s">
        <v>38</v>
      </c>
      <c r="C183" s="2" t="s">
        <v>20</v>
      </c>
      <c r="D183" s="2" t="s">
        <v>12</v>
      </c>
      <c r="E183" s="2">
        <v>1064.19</v>
      </c>
      <c r="F183" s="2">
        <v>18</v>
      </c>
      <c r="G183" s="2">
        <v>0.05</v>
      </c>
      <c r="H183" s="3">
        <v>45725</v>
      </c>
      <c r="I183" s="2">
        <v>404.39</v>
      </c>
    </row>
    <row r="184" spans="1:9" ht="15.75" customHeight="1" x14ac:dyDescent="0.3">
      <c r="A184" s="2" t="s">
        <v>67</v>
      </c>
      <c r="B184" s="2" t="s">
        <v>38</v>
      </c>
      <c r="C184" s="2" t="s">
        <v>18</v>
      </c>
      <c r="D184" s="2" t="s">
        <v>39</v>
      </c>
      <c r="E184" s="2">
        <v>438.76</v>
      </c>
      <c r="F184" s="2">
        <v>18</v>
      </c>
      <c r="G184" s="2">
        <v>0.05</v>
      </c>
      <c r="H184" s="3">
        <v>45726</v>
      </c>
      <c r="I184" s="2">
        <v>187.57</v>
      </c>
    </row>
    <row r="185" spans="1:9" ht="15.75" customHeight="1" x14ac:dyDescent="0.3">
      <c r="A185" s="2" t="s">
        <v>41</v>
      </c>
      <c r="B185" s="2" t="s">
        <v>55</v>
      </c>
      <c r="C185" s="2" t="s">
        <v>11</v>
      </c>
      <c r="D185" s="2" t="s">
        <v>15</v>
      </c>
      <c r="E185" s="2">
        <v>864.98</v>
      </c>
      <c r="F185" s="2">
        <v>2</v>
      </c>
      <c r="G185" s="2">
        <v>0.05</v>
      </c>
      <c r="H185" s="3">
        <v>45727</v>
      </c>
      <c r="I185" s="2">
        <v>410.87</v>
      </c>
    </row>
    <row r="186" spans="1:9" ht="15.75" customHeight="1" x14ac:dyDescent="0.3">
      <c r="A186" s="2" t="s">
        <v>57</v>
      </c>
      <c r="B186" s="2" t="s">
        <v>55</v>
      </c>
      <c r="C186" s="2" t="s">
        <v>11</v>
      </c>
      <c r="D186" s="2" t="s">
        <v>27</v>
      </c>
      <c r="E186" s="2">
        <v>984.93</v>
      </c>
      <c r="F186" s="2">
        <v>14</v>
      </c>
      <c r="G186" s="2">
        <v>0.2</v>
      </c>
      <c r="H186" s="3">
        <v>45733</v>
      </c>
      <c r="I186" s="2">
        <v>275.77999999999997</v>
      </c>
    </row>
    <row r="187" spans="1:9" ht="15.75" customHeight="1" x14ac:dyDescent="0.3">
      <c r="A187" s="2" t="s">
        <v>25</v>
      </c>
      <c r="B187" s="2" t="s">
        <v>55</v>
      </c>
      <c r="C187" s="2" t="s">
        <v>11</v>
      </c>
      <c r="D187" s="2" t="s">
        <v>15</v>
      </c>
      <c r="E187" s="2">
        <v>1493.49</v>
      </c>
      <c r="F187" s="2">
        <v>18</v>
      </c>
      <c r="G187" s="2">
        <v>0</v>
      </c>
      <c r="H187" s="3">
        <v>45734</v>
      </c>
      <c r="I187" s="2">
        <v>746.74</v>
      </c>
    </row>
    <row r="188" spans="1:9" ht="15.75" customHeight="1" x14ac:dyDescent="0.3">
      <c r="A188" s="2" t="s">
        <v>32</v>
      </c>
      <c r="B188" s="2" t="s">
        <v>53</v>
      </c>
      <c r="C188" s="2" t="s">
        <v>20</v>
      </c>
      <c r="D188" s="2" t="s">
        <v>15</v>
      </c>
      <c r="E188" s="2">
        <v>689.43</v>
      </c>
      <c r="F188" s="2">
        <v>9</v>
      </c>
      <c r="G188" s="2">
        <v>0.1</v>
      </c>
      <c r="H188" s="3">
        <v>45736</v>
      </c>
      <c r="I188" s="2">
        <v>310.24</v>
      </c>
    </row>
    <row r="189" spans="1:9" ht="15.75" customHeight="1" x14ac:dyDescent="0.3">
      <c r="A189" s="2" t="s">
        <v>40</v>
      </c>
      <c r="B189" s="2" t="s">
        <v>59</v>
      </c>
      <c r="C189" s="2" t="s">
        <v>20</v>
      </c>
      <c r="D189" s="2" t="s">
        <v>15</v>
      </c>
      <c r="E189" s="2">
        <v>682.24</v>
      </c>
      <c r="F189" s="2">
        <v>1</v>
      </c>
      <c r="G189" s="2">
        <v>0</v>
      </c>
      <c r="H189" s="3">
        <v>45738</v>
      </c>
      <c r="I189" s="2">
        <v>341.12</v>
      </c>
    </row>
    <row r="190" spans="1:9" ht="15.75" customHeight="1" x14ac:dyDescent="0.3">
      <c r="A190" s="2" t="s">
        <v>41</v>
      </c>
      <c r="B190" s="2" t="s">
        <v>26</v>
      </c>
      <c r="C190" s="2" t="s">
        <v>24</v>
      </c>
      <c r="D190" s="2" t="s">
        <v>21</v>
      </c>
      <c r="E190" s="2">
        <v>458.54</v>
      </c>
      <c r="F190" s="2">
        <v>15</v>
      </c>
      <c r="G190" s="2">
        <v>0.2</v>
      </c>
      <c r="H190" s="3">
        <v>45741</v>
      </c>
      <c r="I190" s="2">
        <v>91.71</v>
      </c>
    </row>
    <row r="191" spans="1:9" ht="15.75" customHeight="1" x14ac:dyDescent="0.3">
      <c r="A191" s="2" t="s">
        <v>32</v>
      </c>
      <c r="B191" s="2" t="s">
        <v>26</v>
      </c>
      <c r="C191" s="2" t="s">
        <v>20</v>
      </c>
      <c r="D191" s="2" t="s">
        <v>27</v>
      </c>
      <c r="E191" s="2">
        <v>1184.25</v>
      </c>
      <c r="F191" s="2">
        <v>11</v>
      </c>
      <c r="G191" s="2">
        <v>0.2</v>
      </c>
      <c r="H191" s="3">
        <v>45742</v>
      </c>
      <c r="I191" s="2">
        <v>331.59</v>
      </c>
    </row>
    <row r="192" spans="1:9" ht="15.75" customHeight="1" x14ac:dyDescent="0.3">
      <c r="A192" s="2" t="s">
        <v>25</v>
      </c>
      <c r="B192" s="2" t="s">
        <v>10</v>
      </c>
      <c r="C192" s="2" t="s">
        <v>20</v>
      </c>
      <c r="D192" s="2" t="s">
        <v>15</v>
      </c>
      <c r="E192" s="2">
        <v>762.14</v>
      </c>
      <c r="F192" s="2">
        <v>9</v>
      </c>
      <c r="G192" s="2">
        <v>0</v>
      </c>
      <c r="H192" s="3">
        <v>45743</v>
      </c>
      <c r="I192" s="2">
        <v>381.07</v>
      </c>
    </row>
    <row r="193" spans="1:9" ht="15.75" customHeight="1" x14ac:dyDescent="0.3">
      <c r="A193" s="2" t="s">
        <v>22</v>
      </c>
      <c r="B193" s="2" t="s">
        <v>53</v>
      </c>
      <c r="C193" s="2" t="s">
        <v>24</v>
      </c>
      <c r="D193" s="2" t="s">
        <v>12</v>
      </c>
      <c r="E193" s="2">
        <v>750.71</v>
      </c>
      <c r="F193" s="2">
        <v>10</v>
      </c>
      <c r="G193" s="2">
        <v>0.15</v>
      </c>
      <c r="H193" s="3">
        <v>45743</v>
      </c>
      <c r="I193" s="2">
        <v>255.24</v>
      </c>
    </row>
    <row r="194" spans="1:9" ht="15.75" customHeight="1" x14ac:dyDescent="0.3">
      <c r="A194" s="2" t="s">
        <v>75</v>
      </c>
      <c r="B194" s="2" t="s">
        <v>71</v>
      </c>
      <c r="C194" s="2" t="s">
        <v>34</v>
      </c>
      <c r="D194" s="2" t="s">
        <v>15</v>
      </c>
      <c r="E194" s="2">
        <v>1456.94</v>
      </c>
      <c r="F194" s="2">
        <v>14</v>
      </c>
      <c r="G194" s="2">
        <v>0.05</v>
      </c>
      <c r="H194" s="3">
        <v>45745</v>
      </c>
      <c r="I194" s="2">
        <v>692.05</v>
      </c>
    </row>
    <row r="195" spans="1:9" ht="15.75" customHeight="1" x14ac:dyDescent="0.3">
      <c r="A195" s="2" t="s">
        <v>44</v>
      </c>
      <c r="B195" s="2" t="s">
        <v>61</v>
      </c>
      <c r="C195" s="2" t="s">
        <v>18</v>
      </c>
      <c r="D195" s="2" t="s">
        <v>27</v>
      </c>
      <c r="E195" s="2">
        <v>1093.3800000000001</v>
      </c>
      <c r="F195" s="2">
        <v>17</v>
      </c>
      <c r="G195" s="2">
        <v>0.1</v>
      </c>
      <c r="H195" s="3">
        <v>45745</v>
      </c>
      <c r="I195" s="2">
        <v>344.41</v>
      </c>
    </row>
    <row r="196" spans="1:9" ht="15.75" customHeight="1" x14ac:dyDescent="0.3">
      <c r="A196" s="2" t="s">
        <v>37</v>
      </c>
      <c r="B196" s="2" t="s">
        <v>43</v>
      </c>
      <c r="C196" s="2" t="s">
        <v>11</v>
      </c>
      <c r="D196" s="2" t="s">
        <v>15</v>
      </c>
      <c r="E196" s="2">
        <v>934.27</v>
      </c>
      <c r="F196" s="2">
        <v>8</v>
      </c>
      <c r="G196" s="2">
        <v>0.15</v>
      </c>
      <c r="H196" s="3">
        <v>45746</v>
      </c>
      <c r="I196" s="2">
        <v>397.06</v>
      </c>
    </row>
    <row r="197" spans="1:9" ht="15.75" customHeight="1" x14ac:dyDescent="0.3">
      <c r="A197" s="2" t="s">
        <v>70</v>
      </c>
      <c r="B197" s="2" t="s">
        <v>36</v>
      </c>
      <c r="C197" s="2" t="s">
        <v>34</v>
      </c>
      <c r="D197" s="2" t="s">
        <v>15</v>
      </c>
      <c r="E197" s="2">
        <v>1465.35</v>
      </c>
      <c r="F197" s="2">
        <v>8</v>
      </c>
      <c r="G197" s="2">
        <v>0.2</v>
      </c>
      <c r="H197" s="3">
        <v>45746</v>
      </c>
      <c r="I197" s="2">
        <v>586.14</v>
      </c>
    </row>
    <row r="198" spans="1:9" ht="15.75" customHeight="1" x14ac:dyDescent="0.3">
      <c r="A198" s="2" t="s">
        <v>52</v>
      </c>
      <c r="B198" s="2" t="s">
        <v>14</v>
      </c>
      <c r="C198" s="2" t="s">
        <v>20</v>
      </c>
      <c r="D198" s="2" t="s">
        <v>39</v>
      </c>
      <c r="E198" s="2">
        <v>740.8</v>
      </c>
      <c r="F198" s="2">
        <v>3</v>
      </c>
      <c r="G198" s="2">
        <v>0</v>
      </c>
      <c r="H198" s="3">
        <v>45749</v>
      </c>
      <c r="I198" s="2">
        <v>333.36</v>
      </c>
    </row>
    <row r="199" spans="1:9" ht="15.75" customHeight="1" x14ac:dyDescent="0.3">
      <c r="A199" s="2" t="s">
        <v>58</v>
      </c>
      <c r="B199" s="2" t="s">
        <v>43</v>
      </c>
      <c r="C199" s="2" t="s">
        <v>11</v>
      </c>
      <c r="D199" s="2" t="s">
        <v>39</v>
      </c>
      <c r="E199" s="2">
        <v>545.44000000000005</v>
      </c>
      <c r="F199" s="2">
        <v>17</v>
      </c>
      <c r="G199" s="2">
        <v>0</v>
      </c>
      <c r="H199" s="3">
        <v>45752</v>
      </c>
      <c r="I199" s="2">
        <v>245.45</v>
      </c>
    </row>
    <row r="200" spans="1:9" ht="15.75" customHeight="1" x14ac:dyDescent="0.3">
      <c r="A200" s="2" t="s">
        <v>35</v>
      </c>
      <c r="B200" s="2" t="s">
        <v>36</v>
      </c>
      <c r="C200" s="2" t="s">
        <v>18</v>
      </c>
      <c r="D200" s="2" t="s">
        <v>12</v>
      </c>
      <c r="E200" s="2">
        <v>997.61</v>
      </c>
      <c r="F200" s="2">
        <v>8</v>
      </c>
      <c r="G200" s="2">
        <v>0.05</v>
      </c>
      <c r="H200" s="3">
        <v>45752</v>
      </c>
      <c r="I200" s="2">
        <v>379.09</v>
      </c>
    </row>
    <row r="201" spans="1:9" ht="15.75" customHeight="1" x14ac:dyDescent="0.3">
      <c r="A201" s="2" t="s">
        <v>60</v>
      </c>
      <c r="B201" s="2" t="s">
        <v>36</v>
      </c>
      <c r="C201" s="2" t="s">
        <v>20</v>
      </c>
      <c r="D201" s="2" t="s">
        <v>15</v>
      </c>
      <c r="E201" s="2">
        <v>928.32</v>
      </c>
      <c r="F201" s="2">
        <v>2</v>
      </c>
      <c r="G201" s="2">
        <v>0.05</v>
      </c>
      <c r="H201" s="3">
        <v>45754</v>
      </c>
      <c r="I201" s="2">
        <v>440.95</v>
      </c>
    </row>
    <row r="202" spans="1:9" ht="15.75" customHeight="1" x14ac:dyDescent="0.3"/>
    <row r="203" spans="1:9" ht="15.75" customHeight="1" x14ac:dyDescent="0.3"/>
    <row r="204" spans="1:9" ht="15.75" customHeight="1" x14ac:dyDescent="0.3"/>
    <row r="205" spans="1:9" ht="15.75" customHeight="1" x14ac:dyDescent="0.3"/>
    <row r="206" spans="1:9" ht="15.75" customHeight="1" x14ac:dyDescent="0.3"/>
    <row r="207" spans="1:9" ht="15.75" customHeight="1" x14ac:dyDescent="0.3"/>
    <row r="208" spans="1: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A1:I201">
    <cfRule type="duplicateValues" dxfId="1" priority="2" stopIfTrue="1"/>
  </conditionalFormatting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D554-A84E-43D6-9634-BDB9C113F4BB}">
  <dimension ref="A1:M34"/>
  <sheetViews>
    <sheetView zoomScale="73" zoomScaleNormal="73" workbookViewId="0">
      <selection activeCell="M1" sqref="M1"/>
    </sheetView>
  </sheetViews>
  <sheetFormatPr defaultRowHeight="14.4" x14ac:dyDescent="0.3"/>
  <cols>
    <col min="1" max="1" width="16.5546875" customWidth="1"/>
    <col min="2" max="2" width="13.5546875" customWidth="1"/>
    <col min="3" max="3" width="14.88671875" bestFit="1" customWidth="1"/>
    <col min="4" max="4" width="11.77734375" bestFit="1" customWidth="1"/>
    <col min="5" max="5" width="12.77734375" bestFit="1" customWidth="1"/>
    <col min="6" max="6" width="5.88671875" bestFit="1" customWidth="1"/>
    <col min="8" max="8" width="40.6640625" customWidth="1"/>
  </cols>
  <sheetData>
    <row r="1" spans="1:13" ht="25.8" x14ac:dyDescent="0.3">
      <c r="A1" s="54" t="s">
        <v>145</v>
      </c>
      <c r="B1" s="54"/>
      <c r="C1" s="54"/>
      <c r="D1" s="54"/>
      <c r="E1" s="54"/>
      <c r="F1" s="54"/>
      <c r="G1" s="54"/>
      <c r="H1" s="54"/>
    </row>
    <row r="3" spans="1:13" ht="15" thickBot="1" x14ac:dyDescent="0.35"/>
    <row r="4" spans="1:13" s="12" customFormat="1" ht="24.6" customHeight="1" thickBot="1" x14ac:dyDescent="0.35">
      <c r="A4" s="32" t="s">
        <v>0</v>
      </c>
      <c r="B4" s="33" t="s">
        <v>76</v>
      </c>
      <c r="C4" s="33" t="s">
        <v>77</v>
      </c>
      <c r="D4" s="33" t="s">
        <v>78</v>
      </c>
      <c r="E4" s="33" t="s">
        <v>79</v>
      </c>
      <c r="F4" s="34" t="s">
        <v>80</v>
      </c>
      <c r="H4" s="13" t="s">
        <v>81</v>
      </c>
    </row>
    <row r="5" spans="1:13" x14ac:dyDescent="0.3">
      <c r="A5" s="4" t="str" cm="1">
        <f t="array" ref="A5:A34">_xlfn.UNIQUE(Dataset_Clean!A2:A201)</f>
        <v>CUST019</v>
      </c>
      <c r="B5" s="5">
        <f>SUMIF(Dataset_Clean!$A$2:$A$201,A5,Dataset_Clean!$E$2:$E$201)</f>
        <v>4640.1099999999997</v>
      </c>
      <c r="C5" s="6">
        <f>SUMIF(Dataset_Clean!$A$2:$A$201,A5,Dataset_Clean!$F$2:$F$201)</f>
        <v>43</v>
      </c>
      <c r="D5" s="5">
        <f>SUMIF(Dataset_Clean!$A$2:$A$201,A5,Dataset_Clean!$I$2:$I$201)</f>
        <v>1721.12</v>
      </c>
      <c r="E5" s="6">
        <f>COUNTIF(Dataset_Clean!$A$2:$A$201,A5)</f>
        <v>5</v>
      </c>
      <c r="F5" s="6">
        <f t="shared" ref="F5:F34" si="0">_xlfn.RANK.EQ(B5,$B$5:$B$34,0)</f>
        <v>21</v>
      </c>
    </row>
    <row r="6" spans="1:13" x14ac:dyDescent="0.3">
      <c r="A6" s="7" t="str">
        <v>CUST012</v>
      </c>
      <c r="B6" s="8">
        <f>SUMIF(Dataset_Clean!$A$2:$A$201,A6,Dataset_Clean!$E$2:$E$201)</f>
        <v>8339</v>
      </c>
      <c r="C6" s="9">
        <f>SUMIF(Dataset_Clean!$A$2:$A$201,A6,Dataset_Clean!$F$2:$F$201)</f>
        <v>86</v>
      </c>
      <c r="D6" s="8">
        <f>SUMIF(Dataset_Clean!$A$2:$A$201,A6,Dataset_Clean!$I$2:$I$201)</f>
        <v>2988.7100000000005</v>
      </c>
      <c r="E6" s="9">
        <f>COUNTIF(Dataset_Clean!$A$2:$A$201,A6)</f>
        <v>9</v>
      </c>
      <c r="F6" s="9">
        <f t="shared" si="0"/>
        <v>8</v>
      </c>
    </row>
    <row r="7" spans="1:13" x14ac:dyDescent="0.3">
      <c r="A7" s="7" t="str">
        <v>CUST017</v>
      </c>
      <c r="B7" s="8">
        <f>SUMIF(Dataset_Clean!$A$2:$A$201,A7,Dataset_Clean!$E$2:$E$201)</f>
        <v>3419.2</v>
      </c>
      <c r="C7" s="9">
        <f>SUMIF(Dataset_Clean!$A$2:$A$201,A7,Dataset_Clean!$F$2:$F$201)</f>
        <v>37</v>
      </c>
      <c r="D7" s="8">
        <f>SUMIF(Dataset_Clean!$A$2:$A$201,A7,Dataset_Clean!$I$2:$I$201)</f>
        <v>1257.21</v>
      </c>
      <c r="E7" s="9">
        <f>COUNTIF(Dataset_Clean!$A$2:$A$201,A7)</f>
        <v>4</v>
      </c>
      <c r="F7" s="9">
        <f t="shared" si="0"/>
        <v>28</v>
      </c>
    </row>
    <row r="8" spans="1:13" x14ac:dyDescent="0.3">
      <c r="A8" s="7" t="str">
        <v>CUST005</v>
      </c>
      <c r="B8" s="8">
        <f>SUMIF(Dataset_Clean!$A$2:$A$201,A8,Dataset_Clean!$E$2:$E$201)</f>
        <v>6666.130000000001</v>
      </c>
      <c r="C8" s="9">
        <f>SUMIF(Dataset_Clean!$A$2:$A$201,A8,Dataset_Clean!$F$2:$F$201)</f>
        <v>53</v>
      </c>
      <c r="D8" s="8">
        <f>SUMIF(Dataset_Clean!$A$2:$A$201,A8,Dataset_Clean!$I$2:$I$201)</f>
        <v>1982.3899999999999</v>
      </c>
      <c r="E8" s="9">
        <f>COUNTIF(Dataset_Clean!$A$2:$A$201,A8)</f>
        <v>6</v>
      </c>
      <c r="F8" s="9">
        <f t="shared" si="0"/>
        <v>14</v>
      </c>
    </row>
    <row r="9" spans="1:13" x14ac:dyDescent="0.3">
      <c r="A9" s="7" t="str">
        <v>CUST030</v>
      </c>
      <c r="B9" s="8">
        <f>SUMIF(Dataset_Clean!$A$2:$A$201,A9,Dataset_Clean!$E$2:$E$201)</f>
        <v>7928.71</v>
      </c>
      <c r="C9" s="9">
        <f>SUMIF(Dataset_Clean!$A$2:$A$201,A9,Dataset_Clean!$F$2:$F$201)</f>
        <v>93</v>
      </c>
      <c r="D9" s="8">
        <f>SUMIF(Dataset_Clean!$A$2:$A$201,A9,Dataset_Clean!$I$2:$I$201)</f>
        <v>2965.4799999999996</v>
      </c>
      <c r="E9" s="9">
        <f>COUNTIF(Dataset_Clean!$A$2:$A$201,A9)</f>
        <v>9</v>
      </c>
      <c r="F9" s="9">
        <f t="shared" si="0"/>
        <v>9</v>
      </c>
    </row>
    <row r="10" spans="1:13" x14ac:dyDescent="0.3">
      <c r="A10" s="7" t="str">
        <v>CUST007</v>
      </c>
      <c r="B10" s="8">
        <f>SUMIF(Dataset_Clean!$A$2:$A$201,A10,Dataset_Clean!$E$2:$E$201)</f>
        <v>9941.8799999999992</v>
      </c>
      <c r="C10" s="9">
        <f>SUMIF(Dataset_Clean!$A$2:$A$201,A10,Dataset_Clean!$F$2:$F$201)</f>
        <v>94</v>
      </c>
      <c r="D10" s="8">
        <f>SUMIF(Dataset_Clean!$A$2:$A$201,A10,Dataset_Clean!$I$2:$I$201)</f>
        <v>3936.2599999999998</v>
      </c>
      <c r="E10" s="9">
        <f>COUNTIF(Dataset_Clean!$A$2:$A$201,A10)</f>
        <v>10</v>
      </c>
      <c r="F10" s="9">
        <f t="shared" si="0"/>
        <v>3</v>
      </c>
    </row>
    <row r="11" spans="1:13" x14ac:dyDescent="0.3">
      <c r="A11" s="7" t="str">
        <v>CUST001</v>
      </c>
      <c r="B11" s="8">
        <f>SUMIF(Dataset_Clean!$A$2:$A$201,A11,Dataset_Clean!$E$2:$E$201)</f>
        <v>6549.55</v>
      </c>
      <c r="C11" s="9">
        <f>SUMIF(Dataset_Clean!$A$2:$A$201,A11,Dataset_Clean!$F$2:$F$201)</f>
        <v>72</v>
      </c>
      <c r="D11" s="8">
        <f>SUMIF(Dataset_Clean!$A$2:$A$201,A11,Dataset_Clean!$I$2:$I$201)</f>
        <v>1868.7700000000004</v>
      </c>
      <c r="E11" s="9">
        <f>COUNTIF(Dataset_Clean!$A$2:$A$201,A11)</f>
        <v>7</v>
      </c>
      <c r="F11" s="9">
        <f t="shared" si="0"/>
        <v>15</v>
      </c>
      <c r="M11" s="53"/>
    </row>
    <row r="12" spans="1:13" x14ac:dyDescent="0.3">
      <c r="A12" s="7" t="str">
        <v>CUST026</v>
      </c>
      <c r="B12" s="8">
        <f>SUMIF(Dataset_Clean!$A$2:$A$201,A12,Dataset_Clean!$E$2:$E$201)</f>
        <v>9371.81</v>
      </c>
      <c r="C12" s="9">
        <f>SUMIF(Dataset_Clean!$A$2:$A$201,A12,Dataset_Clean!$F$2:$F$201)</f>
        <v>75</v>
      </c>
      <c r="D12" s="8">
        <f>SUMIF(Dataset_Clean!$A$2:$A$201,A12,Dataset_Clean!$I$2:$I$201)</f>
        <v>2922.0199999999995</v>
      </c>
      <c r="E12" s="9">
        <f>COUNTIF(Dataset_Clean!$A$2:$A$201,A12)</f>
        <v>9</v>
      </c>
      <c r="F12" s="9">
        <f t="shared" si="0"/>
        <v>5</v>
      </c>
    </row>
    <row r="13" spans="1:13" x14ac:dyDescent="0.3">
      <c r="A13" s="7" t="str">
        <v>CUST009</v>
      </c>
      <c r="B13" s="8">
        <f>SUMIF(Dataset_Clean!$A$2:$A$201,A13,Dataset_Clean!$E$2:$E$201)</f>
        <v>6505.2</v>
      </c>
      <c r="C13" s="9">
        <f>SUMIF(Dataset_Clean!$A$2:$A$201,A13,Dataset_Clean!$F$2:$F$201)</f>
        <v>59</v>
      </c>
      <c r="D13" s="8">
        <f>SUMIF(Dataset_Clean!$A$2:$A$201,A13,Dataset_Clean!$I$2:$I$201)</f>
        <v>2052.54</v>
      </c>
      <c r="E13" s="9">
        <f>COUNTIF(Dataset_Clean!$A$2:$A$201,A13)</f>
        <v>7</v>
      </c>
      <c r="F13" s="9">
        <f t="shared" si="0"/>
        <v>16</v>
      </c>
    </row>
    <row r="14" spans="1:13" x14ac:dyDescent="0.3">
      <c r="A14" s="7" t="str">
        <v>CUST010</v>
      </c>
      <c r="B14" s="8">
        <f>SUMIF(Dataset_Clean!$A$2:$A$201,A14,Dataset_Clean!$E$2:$E$201)</f>
        <v>4259.22</v>
      </c>
      <c r="C14" s="9">
        <f>SUMIF(Dataset_Clean!$A$2:$A$201,A14,Dataset_Clean!$F$2:$F$201)</f>
        <v>55</v>
      </c>
      <c r="D14" s="8">
        <f>SUMIF(Dataset_Clean!$A$2:$A$201,A14,Dataset_Clean!$I$2:$I$201)</f>
        <v>1529.32</v>
      </c>
      <c r="E14" s="9">
        <f>COUNTIF(Dataset_Clean!$A$2:$A$201,A14)</f>
        <v>5</v>
      </c>
      <c r="F14" s="9">
        <f t="shared" si="0"/>
        <v>24</v>
      </c>
    </row>
    <row r="15" spans="1:13" x14ac:dyDescent="0.3">
      <c r="A15" s="7" t="str">
        <v>CUST014</v>
      </c>
      <c r="B15" s="8">
        <f>SUMIF(Dataset_Clean!$A$2:$A$201,A15,Dataset_Clean!$E$2:$E$201)</f>
        <v>6729.8899999999994</v>
      </c>
      <c r="C15" s="9">
        <f>SUMIF(Dataset_Clean!$A$2:$A$201,A15,Dataset_Clean!$F$2:$F$201)</f>
        <v>62</v>
      </c>
      <c r="D15" s="8">
        <f>SUMIF(Dataset_Clean!$A$2:$A$201,A15,Dataset_Clean!$I$2:$I$201)</f>
        <v>2507.1799999999998</v>
      </c>
      <c r="E15" s="9">
        <f>COUNTIF(Dataset_Clean!$A$2:$A$201,A15)</f>
        <v>6</v>
      </c>
      <c r="F15" s="9">
        <f t="shared" si="0"/>
        <v>12</v>
      </c>
    </row>
    <row r="16" spans="1:13" x14ac:dyDescent="0.3">
      <c r="A16" s="7" t="str">
        <v>CUST023</v>
      </c>
      <c r="B16" s="8">
        <f>SUMIF(Dataset_Clean!$A$2:$A$201,A16,Dataset_Clean!$E$2:$E$201)</f>
        <v>5913.68</v>
      </c>
      <c r="C16" s="9">
        <f>SUMIF(Dataset_Clean!$A$2:$A$201,A16,Dataset_Clean!$F$2:$F$201)</f>
        <v>51</v>
      </c>
      <c r="D16" s="8">
        <f>SUMIF(Dataset_Clean!$A$2:$A$201,A16,Dataset_Clean!$I$2:$I$201)</f>
        <v>2198.62</v>
      </c>
      <c r="E16" s="9">
        <f>COUNTIF(Dataset_Clean!$A$2:$A$201,A16)</f>
        <v>7</v>
      </c>
      <c r="F16" s="9">
        <f t="shared" si="0"/>
        <v>18</v>
      </c>
    </row>
    <row r="17" spans="1:6" x14ac:dyDescent="0.3">
      <c r="A17" s="7" t="str">
        <v>CUST029</v>
      </c>
      <c r="B17" s="8">
        <f>SUMIF(Dataset_Clean!$A$2:$A$201,A17,Dataset_Clean!$E$2:$E$201)</f>
        <v>5779.05</v>
      </c>
      <c r="C17" s="9">
        <f>SUMIF(Dataset_Clean!$A$2:$A$201,A17,Dataset_Clean!$F$2:$F$201)</f>
        <v>49</v>
      </c>
      <c r="D17" s="8">
        <f>SUMIF(Dataset_Clean!$A$2:$A$201,A17,Dataset_Clean!$I$2:$I$201)</f>
        <v>1611.6599999999999</v>
      </c>
      <c r="E17" s="9">
        <f>COUNTIF(Dataset_Clean!$A$2:$A$201,A17)</f>
        <v>7</v>
      </c>
      <c r="F17" s="9">
        <f t="shared" si="0"/>
        <v>19</v>
      </c>
    </row>
    <row r="18" spans="1:6" x14ac:dyDescent="0.3">
      <c r="A18" s="7" t="str">
        <v>CUST008</v>
      </c>
      <c r="B18" s="8">
        <f>SUMIF(Dataset_Clean!$A$2:$A$201,A18,Dataset_Clean!$E$2:$E$201)</f>
        <v>9760.7999999999993</v>
      </c>
      <c r="C18" s="9">
        <f>SUMIF(Dataset_Clean!$A$2:$A$201,A18,Dataset_Clean!$F$2:$F$201)</f>
        <v>102</v>
      </c>
      <c r="D18" s="8">
        <f>SUMIF(Dataset_Clean!$A$2:$A$201,A18,Dataset_Clean!$I$2:$I$201)</f>
        <v>3442.48</v>
      </c>
      <c r="E18" s="9">
        <f>COUNTIF(Dataset_Clean!$A$2:$A$201,A18)</f>
        <v>10</v>
      </c>
      <c r="F18" s="9">
        <f t="shared" si="0"/>
        <v>4</v>
      </c>
    </row>
    <row r="19" spans="1:6" x14ac:dyDescent="0.3">
      <c r="A19" s="7" t="str">
        <v>CUST006</v>
      </c>
      <c r="B19" s="8">
        <f>SUMIF(Dataset_Clean!$A$2:$A$201,A19,Dataset_Clean!$E$2:$E$201)</f>
        <v>2699.75</v>
      </c>
      <c r="C19" s="9">
        <f>SUMIF(Dataset_Clean!$A$2:$A$201,A19,Dataset_Clean!$F$2:$F$201)</f>
        <v>14</v>
      </c>
      <c r="D19" s="8">
        <f>SUMIF(Dataset_Clean!$A$2:$A$201,A19,Dataset_Clean!$I$2:$I$201)</f>
        <v>837.06</v>
      </c>
      <c r="E19" s="9">
        <f>COUNTIF(Dataset_Clean!$A$2:$A$201,A19)</f>
        <v>2</v>
      </c>
      <c r="F19" s="9">
        <f t="shared" si="0"/>
        <v>30</v>
      </c>
    </row>
    <row r="20" spans="1:6" x14ac:dyDescent="0.3">
      <c r="A20" s="7" t="str">
        <v>CUST022</v>
      </c>
      <c r="B20" s="8">
        <f>SUMIF(Dataset_Clean!$A$2:$A$201,A20,Dataset_Clean!$E$2:$E$201)</f>
        <v>4418.2800000000007</v>
      </c>
      <c r="C20" s="9">
        <f>SUMIF(Dataset_Clean!$A$2:$A$201,A20,Dataset_Clean!$F$2:$F$201)</f>
        <v>78</v>
      </c>
      <c r="D20" s="8">
        <f>SUMIF(Dataset_Clean!$A$2:$A$201,A20,Dataset_Clean!$I$2:$I$201)</f>
        <v>1605.23</v>
      </c>
      <c r="E20" s="9">
        <f>COUNTIF(Dataset_Clean!$A$2:$A$201,A20)</f>
        <v>5</v>
      </c>
      <c r="F20" s="9">
        <f t="shared" si="0"/>
        <v>22</v>
      </c>
    </row>
    <row r="21" spans="1:6" x14ac:dyDescent="0.3">
      <c r="A21" s="7" t="str">
        <v>CUST028</v>
      </c>
      <c r="B21" s="8">
        <f>SUMIF(Dataset_Clean!$A$2:$A$201,A21,Dataset_Clean!$E$2:$E$201)</f>
        <v>10293.870000000001</v>
      </c>
      <c r="C21" s="9">
        <f>SUMIF(Dataset_Clean!$A$2:$A$201,A21,Dataset_Clean!$F$2:$F$201)</f>
        <v>101</v>
      </c>
      <c r="D21" s="8">
        <f>SUMIF(Dataset_Clean!$A$2:$A$201,A21,Dataset_Clean!$I$2:$I$201)</f>
        <v>3541.02</v>
      </c>
      <c r="E21" s="9">
        <f>COUNTIF(Dataset_Clean!$A$2:$A$201,A21)</f>
        <v>12</v>
      </c>
      <c r="F21" s="9">
        <f t="shared" si="0"/>
        <v>2</v>
      </c>
    </row>
    <row r="22" spans="1:6" x14ac:dyDescent="0.3">
      <c r="A22" s="7" t="str">
        <v>CUST025</v>
      </c>
      <c r="B22" s="8">
        <f>SUMIF(Dataset_Clean!$A$2:$A$201,A22,Dataset_Clean!$E$2:$E$201)</f>
        <v>6716.52</v>
      </c>
      <c r="C22" s="9">
        <f>SUMIF(Dataset_Clean!$A$2:$A$201,A22,Dataset_Clean!$F$2:$F$201)</f>
        <v>47</v>
      </c>
      <c r="D22" s="8">
        <f>SUMIF(Dataset_Clean!$A$2:$A$201,A22,Dataset_Clean!$I$2:$I$201)</f>
        <v>2327.84</v>
      </c>
      <c r="E22" s="9">
        <f>COUNTIF(Dataset_Clean!$A$2:$A$201,A22)</f>
        <v>6</v>
      </c>
      <c r="F22" s="9">
        <f t="shared" si="0"/>
        <v>13</v>
      </c>
    </row>
    <row r="23" spans="1:6" x14ac:dyDescent="0.3">
      <c r="A23" s="7" t="str">
        <v>CUST021</v>
      </c>
      <c r="B23" s="8">
        <f>SUMIF(Dataset_Clean!$A$2:$A$201,A23,Dataset_Clean!$E$2:$E$201)</f>
        <v>8740.18</v>
      </c>
      <c r="C23" s="9">
        <f>SUMIF(Dataset_Clean!$A$2:$A$201,A23,Dataset_Clean!$F$2:$F$201)</f>
        <v>100</v>
      </c>
      <c r="D23" s="8">
        <f>SUMIF(Dataset_Clean!$A$2:$A$201,A23,Dataset_Clean!$I$2:$I$201)</f>
        <v>2848.62</v>
      </c>
      <c r="E23" s="9">
        <f>COUNTIF(Dataset_Clean!$A$2:$A$201,A23)</f>
        <v>8</v>
      </c>
      <c r="F23" s="9">
        <f t="shared" si="0"/>
        <v>6</v>
      </c>
    </row>
    <row r="24" spans="1:6" x14ac:dyDescent="0.3">
      <c r="A24" s="7" t="str">
        <v>CUST015</v>
      </c>
      <c r="B24" s="8">
        <f>SUMIF(Dataset_Clean!$A$2:$A$201,A24,Dataset_Clean!$E$2:$E$201)</f>
        <v>11611.060000000001</v>
      </c>
      <c r="C24" s="9">
        <f>SUMIF(Dataset_Clean!$A$2:$A$201,A24,Dataset_Clean!$F$2:$F$201)</f>
        <v>97</v>
      </c>
      <c r="D24" s="8">
        <f>SUMIF(Dataset_Clean!$A$2:$A$201,A24,Dataset_Clean!$I$2:$I$201)</f>
        <v>4201.59</v>
      </c>
      <c r="E24" s="9">
        <f>COUNTIF(Dataset_Clean!$A$2:$A$201,A24)</f>
        <v>11</v>
      </c>
      <c r="F24" s="9">
        <f t="shared" si="0"/>
        <v>1</v>
      </c>
    </row>
    <row r="25" spans="1:6" x14ac:dyDescent="0.3">
      <c r="A25" s="7" t="str">
        <v>CUST016</v>
      </c>
      <c r="B25" s="8">
        <f>SUMIF(Dataset_Clean!$A$2:$A$201,A25,Dataset_Clean!$E$2:$E$201)</f>
        <v>3369.17</v>
      </c>
      <c r="C25" s="9">
        <f>SUMIF(Dataset_Clean!$A$2:$A$201,A25,Dataset_Clean!$F$2:$F$201)</f>
        <v>34</v>
      </c>
      <c r="D25" s="8">
        <f>SUMIF(Dataset_Clean!$A$2:$A$201,A25,Dataset_Clean!$I$2:$I$201)</f>
        <v>1497.25</v>
      </c>
      <c r="E25" s="9">
        <f>COUNTIF(Dataset_Clean!$A$2:$A$201,A25)</f>
        <v>4</v>
      </c>
      <c r="F25" s="9">
        <f t="shared" si="0"/>
        <v>29</v>
      </c>
    </row>
    <row r="26" spans="1:6" x14ac:dyDescent="0.3">
      <c r="A26" s="7" t="str">
        <v>CUST011</v>
      </c>
      <c r="B26" s="8">
        <f>SUMIF(Dataset_Clean!$A$2:$A$201,A26,Dataset_Clean!$E$2:$E$201)</f>
        <v>3762.2900000000004</v>
      </c>
      <c r="C26" s="9">
        <f>SUMIF(Dataset_Clean!$A$2:$A$201,A26,Dataset_Clean!$F$2:$F$201)</f>
        <v>46</v>
      </c>
      <c r="D26" s="8">
        <f>SUMIF(Dataset_Clean!$A$2:$A$201,A26,Dataset_Clean!$I$2:$I$201)</f>
        <v>1545.04</v>
      </c>
      <c r="E26" s="9">
        <f>COUNTIF(Dataset_Clean!$A$2:$A$201,A26)</f>
        <v>4</v>
      </c>
      <c r="F26" s="9">
        <f t="shared" si="0"/>
        <v>27</v>
      </c>
    </row>
    <row r="27" spans="1:6" x14ac:dyDescent="0.3">
      <c r="A27" s="7" t="str">
        <v>CUST002</v>
      </c>
      <c r="B27" s="8">
        <f>SUMIF(Dataset_Clean!$A$2:$A$201,A27,Dataset_Clean!$E$2:$E$201)</f>
        <v>6481.43</v>
      </c>
      <c r="C27" s="9">
        <f>SUMIF(Dataset_Clean!$A$2:$A$201,A27,Dataset_Clean!$F$2:$F$201)</f>
        <v>83</v>
      </c>
      <c r="D27" s="8">
        <f>SUMIF(Dataset_Clean!$A$2:$A$201,A27,Dataset_Clean!$I$2:$I$201)</f>
        <v>2210.7399999999998</v>
      </c>
      <c r="E27" s="9">
        <f>COUNTIF(Dataset_Clean!$A$2:$A$201,A27)</f>
        <v>6</v>
      </c>
      <c r="F27" s="9">
        <f t="shared" si="0"/>
        <v>17</v>
      </c>
    </row>
    <row r="28" spans="1:6" x14ac:dyDescent="0.3">
      <c r="A28" s="7" t="str">
        <v>CUST003</v>
      </c>
      <c r="B28" s="8">
        <f>SUMIF(Dataset_Clean!$A$2:$A$201,A28,Dataset_Clean!$E$2:$E$201)</f>
        <v>8490.18</v>
      </c>
      <c r="C28" s="9">
        <f>SUMIF(Dataset_Clean!$A$2:$A$201,A28,Dataset_Clean!$F$2:$F$201)</f>
        <v>116</v>
      </c>
      <c r="D28" s="8">
        <f>SUMIF(Dataset_Clean!$A$2:$A$201,A28,Dataset_Clean!$I$2:$I$201)</f>
        <v>2652.75</v>
      </c>
      <c r="E28" s="9">
        <f>COUNTIF(Dataset_Clean!$A$2:$A$201,A28)</f>
        <v>9</v>
      </c>
      <c r="F28" s="9">
        <f t="shared" si="0"/>
        <v>7</v>
      </c>
    </row>
    <row r="29" spans="1:6" x14ac:dyDescent="0.3">
      <c r="A29" s="7" t="str">
        <v>CUST020</v>
      </c>
      <c r="B29" s="8">
        <f>SUMIF(Dataset_Clean!$A$2:$A$201,A29,Dataset_Clean!$E$2:$E$201)</f>
        <v>4413.71</v>
      </c>
      <c r="C29" s="9">
        <f>SUMIF(Dataset_Clean!$A$2:$A$201,A29,Dataset_Clean!$F$2:$F$201)</f>
        <v>47</v>
      </c>
      <c r="D29" s="8">
        <f>SUMIF(Dataset_Clean!$A$2:$A$201,A29,Dataset_Clean!$I$2:$I$201)</f>
        <v>1664.79</v>
      </c>
      <c r="E29" s="9">
        <f>COUNTIF(Dataset_Clean!$A$2:$A$201,A29)</f>
        <v>4</v>
      </c>
      <c r="F29" s="9">
        <f t="shared" si="0"/>
        <v>23</v>
      </c>
    </row>
    <row r="30" spans="1:6" x14ac:dyDescent="0.3">
      <c r="A30" s="7" t="str">
        <v>CUST024</v>
      </c>
      <c r="B30" s="8">
        <f>SUMIF(Dataset_Clean!$A$2:$A$201,A30,Dataset_Clean!$E$2:$E$201)</f>
        <v>7583.1299999999992</v>
      </c>
      <c r="C30" s="9">
        <f>SUMIF(Dataset_Clean!$A$2:$A$201,A30,Dataset_Clean!$F$2:$F$201)</f>
        <v>76</v>
      </c>
      <c r="D30" s="8">
        <f>SUMIF(Dataset_Clean!$A$2:$A$201,A30,Dataset_Clean!$I$2:$I$201)</f>
        <v>2492.1</v>
      </c>
      <c r="E30" s="9">
        <f>COUNTIF(Dataset_Clean!$A$2:$A$201,A30)</f>
        <v>7</v>
      </c>
      <c r="F30" s="9">
        <f t="shared" si="0"/>
        <v>11</v>
      </c>
    </row>
    <row r="31" spans="1:6" x14ac:dyDescent="0.3">
      <c r="A31" s="7" t="str">
        <v>CUST004</v>
      </c>
      <c r="B31" s="8">
        <f>SUMIF(Dataset_Clean!$A$2:$A$201,A31,Dataset_Clean!$E$2:$E$201)</f>
        <v>7813.59</v>
      </c>
      <c r="C31" s="9">
        <f>SUMIF(Dataset_Clean!$A$2:$A$201,A31,Dataset_Clean!$F$2:$F$201)</f>
        <v>81</v>
      </c>
      <c r="D31" s="8">
        <f>SUMIF(Dataset_Clean!$A$2:$A$201,A31,Dataset_Clean!$I$2:$I$201)</f>
        <v>3211.82</v>
      </c>
      <c r="E31" s="9">
        <f>COUNTIF(Dataset_Clean!$A$2:$A$201,A31)</f>
        <v>7</v>
      </c>
      <c r="F31" s="9">
        <f t="shared" si="0"/>
        <v>10</v>
      </c>
    </row>
    <row r="32" spans="1:6" x14ac:dyDescent="0.3">
      <c r="A32" s="7" t="str">
        <v>CUST013</v>
      </c>
      <c r="B32" s="8">
        <f>SUMIF(Dataset_Clean!$A$2:$A$201,A32,Dataset_Clean!$E$2:$E$201)</f>
        <v>4162.4400000000005</v>
      </c>
      <c r="C32" s="9">
        <f>SUMIF(Dataset_Clean!$A$2:$A$201,A32,Dataset_Clean!$F$2:$F$201)</f>
        <v>26</v>
      </c>
      <c r="D32" s="8">
        <f>SUMIF(Dataset_Clean!$A$2:$A$201,A32,Dataset_Clean!$I$2:$I$201)</f>
        <v>1605.11</v>
      </c>
      <c r="E32" s="9">
        <f>COUNTIF(Dataset_Clean!$A$2:$A$201,A32)</f>
        <v>4</v>
      </c>
      <c r="F32" s="9">
        <f t="shared" si="0"/>
        <v>25</v>
      </c>
    </row>
    <row r="33" spans="1:6" x14ac:dyDescent="0.3">
      <c r="A33" s="7" t="str">
        <v>CUST027</v>
      </c>
      <c r="B33" s="8">
        <f>SUMIF(Dataset_Clean!$A$2:$A$201,A33,Dataset_Clean!$E$2:$E$201)</f>
        <v>3906.04</v>
      </c>
      <c r="C33" s="9">
        <f>SUMIF(Dataset_Clean!$A$2:$A$201,A33,Dataset_Clean!$F$2:$F$201)</f>
        <v>76</v>
      </c>
      <c r="D33" s="8">
        <f>SUMIF(Dataset_Clean!$A$2:$A$201,A33,Dataset_Clean!$I$2:$I$201)</f>
        <v>1240.6500000000001</v>
      </c>
      <c r="E33" s="9">
        <f>COUNTIF(Dataset_Clean!$A$2:$A$201,A33)</f>
        <v>5</v>
      </c>
      <c r="F33" s="9">
        <f t="shared" si="0"/>
        <v>26</v>
      </c>
    </row>
    <row r="34" spans="1:6" x14ac:dyDescent="0.3">
      <c r="A34" s="7" t="str">
        <v>CUST018</v>
      </c>
      <c r="B34" s="8">
        <f>SUMIF(Dataset_Clean!$A$2:$A$201,A34,Dataset_Clean!$E$2:$E$201)</f>
        <v>4951.8899999999994</v>
      </c>
      <c r="C34" s="9">
        <f>SUMIF(Dataset_Clean!$A$2:$A$201,A34,Dataset_Clean!$F$2:$F$201)</f>
        <v>46</v>
      </c>
      <c r="D34" s="8">
        <f>SUMIF(Dataset_Clean!$A$2:$A$201,A34,Dataset_Clean!$I$2:$I$201)</f>
        <v>1821.6399999999999</v>
      </c>
      <c r="E34" s="9">
        <f>COUNTIF(Dataset_Clean!$A$2:$A$201,A34)</f>
        <v>5</v>
      </c>
      <c r="F34" s="9">
        <f t="shared" si="0"/>
        <v>20</v>
      </c>
    </row>
  </sheetData>
  <mergeCells count="1">
    <mergeCell ref="A1:H1"/>
  </mergeCells>
  <conditionalFormatting sqref="A5:F34">
    <cfRule type="expression" dxfId="0" priority="1" stopIfTrue="1">
      <formula>$F5&lt;=10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2273-1638-4E29-A18E-38DB05C59E92}">
  <dimension ref="A1:D9"/>
  <sheetViews>
    <sheetView workbookViewId="0">
      <selection activeCell="J1" sqref="J1"/>
    </sheetView>
  </sheetViews>
  <sheetFormatPr defaultRowHeight="14.4" x14ac:dyDescent="0.3"/>
  <cols>
    <col min="1" max="1" width="22.44140625" customWidth="1"/>
    <col min="2" max="2" width="16.33203125" customWidth="1"/>
    <col min="3" max="3" width="10.88671875" customWidth="1"/>
    <col min="4" max="4" width="14.77734375" customWidth="1"/>
  </cols>
  <sheetData>
    <row r="1" spans="1:4" ht="25.8" x14ac:dyDescent="0.5">
      <c r="A1" s="55" t="s">
        <v>146</v>
      </c>
      <c r="B1" s="55"/>
      <c r="C1" s="55"/>
      <c r="D1" s="55"/>
    </row>
    <row r="4" spans="1:4" ht="27.6" customHeight="1" x14ac:dyDescent="0.3">
      <c r="A4" s="16" t="s">
        <v>82</v>
      </c>
      <c r="B4" s="16" t="s">
        <v>83</v>
      </c>
      <c r="C4" s="16" t="s">
        <v>84</v>
      </c>
      <c r="D4" s="16" t="s">
        <v>85</v>
      </c>
    </row>
    <row r="5" spans="1:4" ht="18" customHeight="1" x14ac:dyDescent="0.3">
      <c r="A5" s="16" t="s">
        <v>76</v>
      </c>
      <c r="B5" s="11">
        <f>SUM(Dataset_Clean!E2:E201)</f>
        <v>195217.75999999992</v>
      </c>
      <c r="C5" s="14">
        <v>0.1</v>
      </c>
      <c r="D5" s="11">
        <f>B5*(1+C5)</f>
        <v>214739.53599999993</v>
      </c>
    </row>
    <row r="6" spans="1:4" ht="17.399999999999999" customHeight="1" x14ac:dyDescent="0.3">
      <c r="A6" s="16" t="s">
        <v>77</v>
      </c>
      <c r="B6" s="11">
        <f>SUM(Dataset_Clean!F2:F201)</f>
        <v>1999</v>
      </c>
      <c r="C6" s="14">
        <v>0.1</v>
      </c>
      <c r="D6" s="11">
        <f>B6*(1+C6)</f>
        <v>2198.9</v>
      </c>
    </row>
    <row r="7" spans="1:4" ht="19.2" customHeight="1" x14ac:dyDescent="0.3">
      <c r="A7" s="16" t="s">
        <v>78</v>
      </c>
      <c r="B7" s="11">
        <f>SUM(Dataset_Clean!I2:I201)</f>
        <v>68287.010000000009</v>
      </c>
      <c r="C7" s="14">
        <v>0.1</v>
      </c>
      <c r="D7" s="11">
        <f>B7*(1+C7)</f>
        <v>75115.71100000001</v>
      </c>
    </row>
    <row r="9" spans="1:4" ht="55.2" customHeight="1" x14ac:dyDescent="0.3"/>
  </sheetData>
  <mergeCells count="1">
    <mergeCell ref="A1:D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8525-676F-42F1-9CD7-BF69304901D4}">
  <dimension ref="A1:J222"/>
  <sheetViews>
    <sheetView zoomScale="85" zoomScaleNormal="85" workbookViewId="0">
      <selection activeCell="L1" sqref="L1"/>
    </sheetView>
  </sheetViews>
  <sheetFormatPr defaultRowHeight="14.4" x14ac:dyDescent="0.3"/>
  <cols>
    <col min="1" max="1" width="19.33203125" customWidth="1"/>
    <col min="2" max="2" width="15.77734375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10" ht="25.8" x14ac:dyDescent="0.5">
      <c r="A1" s="59" t="s">
        <v>144</v>
      </c>
      <c r="B1" s="59"/>
      <c r="C1" s="59"/>
      <c r="D1" s="59"/>
      <c r="E1" s="59"/>
      <c r="F1" s="59"/>
      <c r="G1" s="59"/>
      <c r="H1" s="59"/>
      <c r="I1" s="59"/>
      <c r="J1" s="59"/>
    </row>
    <row r="3" spans="1:10" s="12" customFormat="1" ht="22.8" customHeight="1" x14ac:dyDescent="0.3">
      <c r="A3" s="56" t="s">
        <v>86</v>
      </c>
      <c r="B3" s="58"/>
    </row>
    <row r="4" spans="1:10" s="19" customFormat="1" ht="19.8" customHeight="1" x14ac:dyDescent="0.3">
      <c r="A4" s="18" t="s">
        <v>87</v>
      </c>
      <c r="B4" s="27">
        <v>0.77340306414342619</v>
      </c>
    </row>
    <row r="5" spans="1:10" s="19" customFormat="1" ht="19.8" customHeight="1" x14ac:dyDescent="0.3">
      <c r="A5" s="18" t="s">
        <v>88</v>
      </c>
      <c r="B5" s="27">
        <v>0.59815229962644056</v>
      </c>
    </row>
    <row r="6" spans="1:10" s="19" customFormat="1" ht="19.8" customHeight="1" x14ac:dyDescent="0.3">
      <c r="A6" s="18" t="s">
        <v>89</v>
      </c>
      <c r="B6" s="27">
        <v>0.59612276578617007</v>
      </c>
    </row>
    <row r="7" spans="1:10" s="19" customFormat="1" ht="19.8" customHeight="1" x14ac:dyDescent="0.3">
      <c r="A7" s="18" t="s">
        <v>90</v>
      </c>
      <c r="B7" s="27">
        <v>86.281230529665166</v>
      </c>
    </row>
    <row r="8" spans="1:10" s="19" customFormat="1" ht="19.8" customHeight="1" x14ac:dyDescent="0.3">
      <c r="A8" s="18" t="s">
        <v>91</v>
      </c>
      <c r="B8" s="17">
        <v>200</v>
      </c>
    </row>
    <row r="10" spans="1:10" ht="18" x14ac:dyDescent="0.3">
      <c r="A10" s="56" t="s">
        <v>92</v>
      </c>
      <c r="B10" s="57"/>
      <c r="C10" s="57"/>
      <c r="D10" s="57"/>
      <c r="E10" s="57"/>
      <c r="F10" s="58"/>
    </row>
    <row r="11" spans="1:10" ht="18.600000000000001" customHeight="1" x14ac:dyDescent="0.3">
      <c r="A11" s="16" t="s">
        <v>113</v>
      </c>
      <c r="B11" s="16" t="s">
        <v>97</v>
      </c>
      <c r="C11" s="16" t="s">
        <v>98</v>
      </c>
      <c r="D11" s="16" t="s">
        <v>99</v>
      </c>
      <c r="E11" s="16" t="s">
        <v>100</v>
      </c>
      <c r="F11" s="16" t="s">
        <v>101</v>
      </c>
    </row>
    <row r="12" spans="1:10" ht="18.600000000000001" customHeight="1" x14ac:dyDescent="0.3">
      <c r="A12" s="21" t="s">
        <v>93</v>
      </c>
      <c r="B12" s="15">
        <v>1</v>
      </c>
      <c r="C12" s="15">
        <v>2194058.1833402822</v>
      </c>
      <c r="D12" s="15">
        <v>2194058.1833402822</v>
      </c>
      <c r="E12" s="26">
        <v>294.72398427548114</v>
      </c>
      <c r="F12" s="15">
        <v>4.6269367558910499E-41</v>
      </c>
    </row>
    <row r="13" spans="1:10" ht="18.600000000000001" customHeight="1" x14ac:dyDescent="0.3">
      <c r="A13" s="21" t="s">
        <v>94</v>
      </c>
      <c r="B13" s="15">
        <v>198</v>
      </c>
      <c r="C13" s="15">
        <v>1474001.2468592182</v>
      </c>
      <c r="D13" s="28">
        <v>7444.4507417132236</v>
      </c>
      <c r="E13" s="15"/>
      <c r="F13" s="15"/>
    </row>
    <row r="14" spans="1:10" ht="18.600000000000001" customHeight="1" x14ac:dyDescent="0.3">
      <c r="A14" s="21" t="s">
        <v>95</v>
      </c>
      <c r="B14" s="15">
        <v>199</v>
      </c>
      <c r="C14" s="15">
        <v>3668059.4301995002</v>
      </c>
      <c r="D14" s="15"/>
      <c r="E14" s="15"/>
      <c r="F14" s="15"/>
    </row>
    <row r="16" spans="1:10" ht="20.399999999999999" customHeight="1" x14ac:dyDescent="0.3">
      <c r="A16" s="25" t="s">
        <v>102</v>
      </c>
      <c r="B16" s="22"/>
      <c r="C16" s="22"/>
      <c r="D16" s="22"/>
      <c r="E16" s="22"/>
      <c r="F16" s="22"/>
      <c r="G16" s="22"/>
      <c r="H16" s="22"/>
      <c r="I16" s="23"/>
    </row>
    <row r="17" spans="1:9" x14ac:dyDescent="0.3">
      <c r="A17" s="24" t="s">
        <v>114</v>
      </c>
      <c r="B17" s="24" t="s">
        <v>102</v>
      </c>
      <c r="C17" s="24" t="s">
        <v>90</v>
      </c>
      <c r="D17" s="24" t="s">
        <v>103</v>
      </c>
      <c r="E17" s="24" t="s">
        <v>104</v>
      </c>
      <c r="F17" s="24" t="s">
        <v>105</v>
      </c>
      <c r="G17" s="24" t="s">
        <v>106</v>
      </c>
      <c r="H17" s="24" t="s">
        <v>107</v>
      </c>
      <c r="I17" s="24" t="s">
        <v>108</v>
      </c>
    </row>
    <row r="18" spans="1:9" ht="20.399999999999999" customHeight="1" x14ac:dyDescent="0.3">
      <c r="A18" s="20" t="s">
        <v>96</v>
      </c>
      <c r="B18" s="26">
        <v>-1.0315504901911368</v>
      </c>
      <c r="C18" s="26">
        <v>20.860617005445505</v>
      </c>
      <c r="D18" s="26">
        <v>-4.9449663445805959E-2</v>
      </c>
      <c r="E18" s="26">
        <v>0.96061079696907459</v>
      </c>
      <c r="F18" s="26">
        <v>-42.169051823378965</v>
      </c>
      <c r="G18" s="26">
        <v>40.105950842996691</v>
      </c>
      <c r="H18" s="26">
        <v>-42.169051823378965</v>
      </c>
      <c r="I18" s="26">
        <v>40.105950842996691</v>
      </c>
    </row>
    <row r="19" spans="1:9" ht="20.399999999999999" customHeight="1" x14ac:dyDescent="0.3">
      <c r="A19" s="20" t="s">
        <v>4</v>
      </c>
      <c r="B19" s="26">
        <v>0.35085598819512254</v>
      </c>
      <c r="C19" s="26">
        <v>2.0437188630135626E-2</v>
      </c>
      <c r="D19" s="26">
        <v>17.167527028535048</v>
      </c>
      <c r="E19" s="26">
        <v>4.6269367558907868E-41</v>
      </c>
      <c r="F19" s="26">
        <v>0.31055349501865764</v>
      </c>
      <c r="G19" s="26">
        <v>0.39115848137158743</v>
      </c>
      <c r="H19" s="26">
        <v>0.31055349501865764</v>
      </c>
      <c r="I19" s="26">
        <v>0.39115848137158743</v>
      </c>
    </row>
    <row r="21" spans="1:9" ht="18" x14ac:dyDescent="0.3">
      <c r="A21" s="56" t="s">
        <v>109</v>
      </c>
      <c r="B21" s="57"/>
      <c r="C21" s="58"/>
    </row>
    <row r="22" spans="1:9" ht="17.399999999999999" customHeight="1" x14ac:dyDescent="0.3">
      <c r="A22" s="24" t="s">
        <v>110</v>
      </c>
      <c r="B22" s="24" t="s">
        <v>111</v>
      </c>
      <c r="C22" s="24" t="s">
        <v>112</v>
      </c>
    </row>
    <row r="23" spans="1:9" x14ac:dyDescent="0.3">
      <c r="A23" s="15">
        <v>1</v>
      </c>
      <c r="B23" s="26">
        <v>362.48683031889334</v>
      </c>
      <c r="C23" s="26">
        <v>-30.936830318893328</v>
      </c>
    </row>
    <row r="24" spans="1:9" x14ac:dyDescent="0.3">
      <c r="A24" s="15">
        <v>2</v>
      </c>
      <c r="B24" s="26">
        <v>385.35913218933342</v>
      </c>
      <c r="C24" s="26">
        <v>55.150867810666568</v>
      </c>
    </row>
    <row r="25" spans="1:9" x14ac:dyDescent="0.3">
      <c r="A25" s="15">
        <v>3</v>
      </c>
      <c r="B25" s="26">
        <v>249.24806012891759</v>
      </c>
      <c r="C25" s="26">
        <v>36.091939871082388</v>
      </c>
    </row>
    <row r="26" spans="1:9" x14ac:dyDescent="0.3">
      <c r="A26" s="15">
        <v>4</v>
      </c>
      <c r="B26" s="26">
        <v>265.94529660712345</v>
      </c>
      <c r="C26" s="26">
        <v>-104.24529660712346</v>
      </c>
    </row>
    <row r="27" spans="1:9" x14ac:dyDescent="0.3">
      <c r="A27" s="15">
        <v>5</v>
      </c>
      <c r="B27" s="26">
        <v>296.14347151107768</v>
      </c>
      <c r="C27" s="26">
        <v>-25.103471511077657</v>
      </c>
    </row>
    <row r="28" spans="1:9" x14ac:dyDescent="0.3">
      <c r="A28" s="15">
        <v>6</v>
      </c>
      <c r="B28" s="26">
        <v>337.76902595054696</v>
      </c>
      <c r="C28" s="26">
        <v>-33.589025950546954</v>
      </c>
    </row>
    <row r="29" spans="1:9" x14ac:dyDescent="0.3">
      <c r="A29" s="15">
        <v>7</v>
      </c>
      <c r="B29" s="26">
        <v>461.23173963652863</v>
      </c>
      <c r="C29" s="26">
        <v>-148.3217396365286</v>
      </c>
    </row>
    <row r="30" spans="1:9" x14ac:dyDescent="0.3">
      <c r="A30" s="15">
        <v>8</v>
      </c>
      <c r="B30" s="26">
        <v>375.95268314582216</v>
      </c>
      <c r="C30" s="26">
        <v>-75.102683145822141</v>
      </c>
    </row>
    <row r="31" spans="1:9" x14ac:dyDescent="0.3">
      <c r="A31" s="15">
        <v>9</v>
      </c>
      <c r="B31" s="26">
        <v>174.93676182919063</v>
      </c>
      <c r="C31" s="26">
        <v>15.653238170809374</v>
      </c>
    </row>
    <row r="32" spans="1:9" x14ac:dyDescent="0.3">
      <c r="A32" s="15">
        <v>10</v>
      </c>
      <c r="B32" s="26">
        <v>257.65807816595463</v>
      </c>
      <c r="C32" s="26">
        <v>92.561921834045393</v>
      </c>
    </row>
    <row r="33" spans="1:3" x14ac:dyDescent="0.3">
      <c r="A33" s="15">
        <v>11</v>
      </c>
      <c r="B33" s="26">
        <v>550.80176486286155</v>
      </c>
      <c r="C33" s="26">
        <v>121.57823513713845</v>
      </c>
    </row>
    <row r="34" spans="1:3" x14ac:dyDescent="0.3">
      <c r="A34" s="15">
        <v>12</v>
      </c>
      <c r="B34" s="26">
        <v>470.21365293432382</v>
      </c>
      <c r="C34" s="26">
        <v>-13.553652934323793</v>
      </c>
    </row>
    <row r="35" spans="1:3" x14ac:dyDescent="0.3">
      <c r="A35" s="15">
        <v>13</v>
      </c>
      <c r="B35" s="26">
        <v>417.04142792335296</v>
      </c>
      <c r="C35" s="26">
        <v>35.758572076647056</v>
      </c>
    </row>
    <row r="36" spans="1:3" x14ac:dyDescent="0.3">
      <c r="A36" s="15">
        <v>14</v>
      </c>
      <c r="B36" s="26">
        <v>287.4703114828942</v>
      </c>
      <c r="C36" s="26">
        <v>-14.060311482894178</v>
      </c>
    </row>
    <row r="37" spans="1:3" x14ac:dyDescent="0.3">
      <c r="A37" s="15">
        <v>15</v>
      </c>
      <c r="B37" s="26">
        <v>181.99949287155843</v>
      </c>
      <c r="C37" s="26">
        <v>-26.799492871558442</v>
      </c>
    </row>
    <row r="38" spans="1:3" x14ac:dyDescent="0.3">
      <c r="A38" s="15">
        <v>16</v>
      </c>
      <c r="B38" s="26">
        <v>526.28043984790429</v>
      </c>
      <c r="C38" s="26">
        <v>-225.69043984790432</v>
      </c>
    </row>
    <row r="39" spans="1:3" x14ac:dyDescent="0.3">
      <c r="A39" s="15">
        <v>17</v>
      </c>
      <c r="B39" s="26">
        <v>306.87264763008449</v>
      </c>
      <c r="C39" s="26">
        <v>-8.4926476300844911</v>
      </c>
    </row>
    <row r="40" spans="1:3" x14ac:dyDescent="0.3">
      <c r="A40" s="15">
        <v>18</v>
      </c>
      <c r="B40" s="26">
        <v>222.3584571936434</v>
      </c>
      <c r="C40" s="26">
        <v>-18.618457193643394</v>
      </c>
    </row>
    <row r="41" spans="1:3" x14ac:dyDescent="0.3">
      <c r="A41" s="15">
        <v>19</v>
      </c>
      <c r="B41" s="26">
        <v>527.40668757001072</v>
      </c>
      <c r="C41" s="26">
        <v>-45.446687570010738</v>
      </c>
    </row>
    <row r="42" spans="1:3" x14ac:dyDescent="0.3">
      <c r="A42" s="15">
        <v>20</v>
      </c>
      <c r="B42" s="26">
        <v>225.2775790154268</v>
      </c>
      <c r="C42" s="26">
        <v>-64.017579015426804</v>
      </c>
    </row>
    <row r="43" spans="1:3" x14ac:dyDescent="0.3">
      <c r="A43" s="15">
        <v>21</v>
      </c>
      <c r="B43" s="26">
        <v>333.43946305621915</v>
      </c>
      <c r="C43" s="26">
        <v>143.21053694378082</v>
      </c>
    </row>
    <row r="44" spans="1:3" x14ac:dyDescent="0.3">
      <c r="A44" s="15">
        <v>22</v>
      </c>
      <c r="B44" s="26">
        <v>135.29705228290567</v>
      </c>
      <c r="C44" s="26">
        <v>-52.727052282905674</v>
      </c>
    </row>
    <row r="45" spans="1:3" x14ac:dyDescent="0.3">
      <c r="A45" s="15">
        <v>23</v>
      </c>
      <c r="B45" s="26">
        <v>259.71409425677808</v>
      </c>
      <c r="C45" s="26">
        <v>37.555905743221899</v>
      </c>
    </row>
    <row r="46" spans="1:3" x14ac:dyDescent="0.3">
      <c r="A46" s="15">
        <v>24</v>
      </c>
      <c r="B46" s="26">
        <v>246.80259389119757</v>
      </c>
      <c r="C46" s="26">
        <v>-70.212593891197571</v>
      </c>
    </row>
    <row r="47" spans="1:3" x14ac:dyDescent="0.3">
      <c r="A47" s="15">
        <v>25</v>
      </c>
      <c r="B47" s="26">
        <v>323.61900394663769</v>
      </c>
      <c r="C47" s="26">
        <v>51.13099605336231</v>
      </c>
    </row>
    <row r="48" spans="1:3" x14ac:dyDescent="0.3">
      <c r="A48" s="15">
        <v>26</v>
      </c>
      <c r="B48" s="26">
        <v>410.56462638127095</v>
      </c>
      <c r="C48" s="26">
        <v>-117.28462638127098</v>
      </c>
    </row>
    <row r="49" spans="1:3" x14ac:dyDescent="0.3">
      <c r="A49" s="15">
        <v>27</v>
      </c>
      <c r="B49" s="26">
        <v>235.98570377514193</v>
      </c>
      <c r="C49" s="26">
        <v>0.45429622485806931</v>
      </c>
    </row>
    <row r="50" spans="1:3" x14ac:dyDescent="0.3">
      <c r="A50" s="15">
        <v>28</v>
      </c>
      <c r="B50" s="26">
        <v>328.4537994639665</v>
      </c>
      <c r="C50" s="26">
        <v>28.396200536033518</v>
      </c>
    </row>
    <row r="51" spans="1:3" x14ac:dyDescent="0.3">
      <c r="A51" s="15">
        <v>29</v>
      </c>
      <c r="B51" s="26">
        <v>343.97917694160066</v>
      </c>
      <c r="C51" s="26">
        <v>54.270823058399344</v>
      </c>
    </row>
    <row r="52" spans="1:3" x14ac:dyDescent="0.3">
      <c r="A52" s="15">
        <v>30</v>
      </c>
      <c r="B52" s="26">
        <v>280.07777581162298</v>
      </c>
      <c r="C52" s="26">
        <v>-119.83777581162298</v>
      </c>
    </row>
    <row r="53" spans="1:3" x14ac:dyDescent="0.3">
      <c r="A53" s="15">
        <v>31</v>
      </c>
      <c r="B53" s="26">
        <v>507.95874014435509</v>
      </c>
      <c r="C53" s="26">
        <v>-181.54874014435507</v>
      </c>
    </row>
    <row r="54" spans="1:3" x14ac:dyDescent="0.3">
      <c r="A54" s="15">
        <v>32</v>
      </c>
      <c r="B54" s="26">
        <v>357.96780519094023</v>
      </c>
      <c r="C54" s="26">
        <v>30.852194809059768</v>
      </c>
    </row>
    <row r="55" spans="1:3" x14ac:dyDescent="0.3">
      <c r="A55" s="15">
        <v>33</v>
      </c>
      <c r="B55" s="26">
        <v>298.50122375174891</v>
      </c>
      <c r="C55" s="26">
        <v>-44.52122375174892</v>
      </c>
    </row>
    <row r="56" spans="1:3" x14ac:dyDescent="0.3">
      <c r="A56" s="15">
        <v>34</v>
      </c>
      <c r="B56" s="26">
        <v>338.55845192398601</v>
      </c>
      <c r="C56" s="26">
        <v>-120.77845192398601</v>
      </c>
    </row>
    <row r="57" spans="1:3" x14ac:dyDescent="0.3">
      <c r="A57" s="15">
        <v>35</v>
      </c>
      <c r="B57" s="26">
        <v>420.31140573333153</v>
      </c>
      <c r="C57" s="26">
        <v>93.06859426666847</v>
      </c>
    </row>
    <row r="58" spans="1:3" x14ac:dyDescent="0.3">
      <c r="A58" s="15">
        <v>36</v>
      </c>
      <c r="B58" s="26">
        <v>164.70580121342084</v>
      </c>
      <c r="C58" s="26">
        <v>-13.545801213420845</v>
      </c>
    </row>
    <row r="59" spans="1:3" x14ac:dyDescent="0.3">
      <c r="A59" s="15">
        <v>37</v>
      </c>
      <c r="B59" s="26">
        <v>294.01026710285129</v>
      </c>
      <c r="C59" s="26">
        <v>65.479732897148722</v>
      </c>
    </row>
    <row r="60" spans="1:3" x14ac:dyDescent="0.3">
      <c r="A60" s="15">
        <v>38</v>
      </c>
      <c r="B60" s="26">
        <v>493.69644422422334</v>
      </c>
      <c r="C60" s="26">
        <v>-24.856444224223367</v>
      </c>
    </row>
    <row r="61" spans="1:3" x14ac:dyDescent="0.3">
      <c r="A61" s="15">
        <v>39</v>
      </c>
      <c r="B61" s="26">
        <v>270.21170542357618</v>
      </c>
      <c r="C61" s="26">
        <v>-40.221705423576168</v>
      </c>
    </row>
    <row r="62" spans="1:3" x14ac:dyDescent="0.3">
      <c r="A62" s="15">
        <v>40</v>
      </c>
      <c r="B62" s="26">
        <v>202.61579073790381</v>
      </c>
      <c r="C62" s="26">
        <v>-5.2657907379038136</v>
      </c>
    </row>
    <row r="63" spans="1:3" x14ac:dyDescent="0.3">
      <c r="A63" s="15">
        <v>41</v>
      </c>
      <c r="B63" s="26">
        <v>402.87737167991588</v>
      </c>
      <c r="C63" s="26">
        <v>11.562628320084116</v>
      </c>
    </row>
    <row r="64" spans="1:3" x14ac:dyDescent="0.3">
      <c r="A64" s="15">
        <v>42</v>
      </c>
      <c r="B64" s="26">
        <v>358.93967627824071</v>
      </c>
      <c r="C64" s="26">
        <v>10.410323721759312</v>
      </c>
    </row>
    <row r="65" spans="1:3" x14ac:dyDescent="0.3">
      <c r="A65" s="15">
        <v>43</v>
      </c>
      <c r="B65" s="26">
        <v>194.19173846133893</v>
      </c>
      <c r="C65" s="26">
        <v>18.638261538661084</v>
      </c>
    </row>
    <row r="66" spans="1:3" x14ac:dyDescent="0.3">
      <c r="A66" s="15">
        <v>44</v>
      </c>
      <c r="B66" s="26">
        <v>293.98570718367768</v>
      </c>
      <c r="C66" s="26">
        <v>8.7242928163223041</v>
      </c>
    </row>
    <row r="67" spans="1:3" x14ac:dyDescent="0.3">
      <c r="A67" s="15">
        <v>45</v>
      </c>
      <c r="B67" s="26">
        <v>429.55646102227297</v>
      </c>
      <c r="C67" s="26">
        <v>-64.446461022272956</v>
      </c>
    </row>
    <row r="68" spans="1:3" x14ac:dyDescent="0.3">
      <c r="A68" s="15">
        <v>46</v>
      </c>
      <c r="B68" s="26">
        <v>299.54677459657034</v>
      </c>
      <c r="C68" s="26">
        <v>-85.366774596570338</v>
      </c>
    </row>
    <row r="69" spans="1:3" x14ac:dyDescent="0.3">
      <c r="A69" s="15">
        <v>47</v>
      </c>
      <c r="B69" s="26">
        <v>428.91439456387593</v>
      </c>
      <c r="C69" s="26">
        <v>39.805605436124097</v>
      </c>
    </row>
    <row r="70" spans="1:3" x14ac:dyDescent="0.3">
      <c r="A70" s="15">
        <v>48</v>
      </c>
      <c r="B70" s="26">
        <v>350.37528160639778</v>
      </c>
      <c r="C70" s="26">
        <v>100.3347183936022</v>
      </c>
    </row>
    <row r="71" spans="1:3" x14ac:dyDescent="0.3">
      <c r="A71" s="15">
        <v>49</v>
      </c>
      <c r="B71" s="26">
        <v>415.38187909919003</v>
      </c>
      <c r="C71" s="26">
        <v>-83.061879099190037</v>
      </c>
    </row>
    <row r="72" spans="1:3" x14ac:dyDescent="0.3">
      <c r="A72" s="15">
        <v>50</v>
      </c>
      <c r="B72" s="26">
        <v>271.03972555571664</v>
      </c>
      <c r="C72" s="26">
        <v>-96.559725555716653</v>
      </c>
    </row>
    <row r="73" spans="1:3" x14ac:dyDescent="0.3">
      <c r="A73" s="15">
        <v>51</v>
      </c>
      <c r="B73" s="26">
        <v>357.35731577148067</v>
      </c>
      <c r="C73" s="26">
        <v>-114.75731577148068</v>
      </c>
    </row>
    <row r="74" spans="1:3" x14ac:dyDescent="0.3">
      <c r="A74" s="15">
        <v>52</v>
      </c>
      <c r="B74" s="26">
        <v>429.33542174971001</v>
      </c>
      <c r="C74" s="26">
        <v>122.64457825029001</v>
      </c>
    </row>
    <row r="75" spans="1:3" x14ac:dyDescent="0.3">
      <c r="A75" s="15">
        <v>53</v>
      </c>
      <c r="B75" s="26">
        <v>380.32434875873344</v>
      </c>
      <c r="C75" s="26">
        <v>0.10565124126657111</v>
      </c>
    </row>
    <row r="76" spans="1:3" x14ac:dyDescent="0.3">
      <c r="A76" s="15">
        <v>54</v>
      </c>
      <c r="B76" s="26">
        <v>329.79056077898991</v>
      </c>
      <c r="C76" s="26">
        <v>9.6494392210100841</v>
      </c>
    </row>
    <row r="77" spans="1:3" x14ac:dyDescent="0.3">
      <c r="A77" s="15">
        <v>55</v>
      </c>
      <c r="B77" s="26">
        <v>286.24933264397521</v>
      </c>
      <c r="C77" s="26">
        <v>-112.2593326439752</v>
      </c>
    </row>
    <row r="78" spans="1:3" x14ac:dyDescent="0.3">
      <c r="A78" s="15">
        <v>56</v>
      </c>
      <c r="B78" s="26">
        <v>321.41913690065428</v>
      </c>
      <c r="C78" s="26">
        <v>-64.089136900654296</v>
      </c>
    </row>
    <row r="79" spans="1:3" x14ac:dyDescent="0.3">
      <c r="A79" s="15">
        <v>57</v>
      </c>
      <c r="B79" s="26">
        <v>340.44254858059384</v>
      </c>
      <c r="C79" s="26">
        <v>48.857451419406175</v>
      </c>
    </row>
    <row r="80" spans="1:3" x14ac:dyDescent="0.3">
      <c r="A80" s="15">
        <v>58</v>
      </c>
      <c r="B80" s="26">
        <v>259.16675891519367</v>
      </c>
      <c r="C80" s="26">
        <v>-110.84675891519367</v>
      </c>
    </row>
    <row r="81" spans="1:3" x14ac:dyDescent="0.3">
      <c r="A81" s="15">
        <v>59</v>
      </c>
      <c r="B81" s="26">
        <v>437.12442468764175</v>
      </c>
      <c r="C81" s="26">
        <v>12.455575312358235</v>
      </c>
    </row>
    <row r="82" spans="1:3" x14ac:dyDescent="0.3">
      <c r="A82" s="15">
        <v>60</v>
      </c>
      <c r="B82" s="26">
        <v>476.2589016109257</v>
      </c>
      <c r="C82" s="26">
        <v>203.92109838907425</v>
      </c>
    </row>
    <row r="83" spans="1:3" x14ac:dyDescent="0.3">
      <c r="A83" s="15">
        <v>61</v>
      </c>
      <c r="B83" s="26">
        <v>484.30753798012188</v>
      </c>
      <c r="C83" s="26">
        <v>13.68246201987813</v>
      </c>
    </row>
    <row r="84" spans="1:3" x14ac:dyDescent="0.3">
      <c r="A84" s="15">
        <v>62</v>
      </c>
      <c r="B84" s="26">
        <v>170.53351917734184</v>
      </c>
      <c r="C84" s="26">
        <v>49.516480822658167</v>
      </c>
    </row>
    <row r="85" spans="1:3" x14ac:dyDescent="0.3">
      <c r="A85" s="15">
        <v>63</v>
      </c>
      <c r="B85" s="26">
        <v>326.56619424747674</v>
      </c>
      <c r="C85" s="26">
        <v>-32.44619424747674</v>
      </c>
    </row>
    <row r="86" spans="1:3" x14ac:dyDescent="0.3">
      <c r="A86" s="15">
        <v>64</v>
      </c>
      <c r="B86" s="26">
        <v>351.7646713196504</v>
      </c>
      <c r="C86" s="26">
        <v>-150.65467131965039</v>
      </c>
    </row>
    <row r="87" spans="1:3" x14ac:dyDescent="0.3">
      <c r="A87" s="15">
        <v>65</v>
      </c>
      <c r="B87" s="26">
        <v>384.94512212326316</v>
      </c>
      <c r="C87" s="26">
        <v>-123.67512212326318</v>
      </c>
    </row>
    <row r="88" spans="1:3" x14ac:dyDescent="0.3">
      <c r="A88" s="15">
        <v>66</v>
      </c>
      <c r="B88" s="26">
        <v>361.99914049530219</v>
      </c>
      <c r="C88" s="26">
        <v>-54.179140495302192</v>
      </c>
    </row>
    <row r="89" spans="1:3" x14ac:dyDescent="0.3">
      <c r="A89" s="15">
        <v>67</v>
      </c>
      <c r="B89" s="26">
        <v>306.47267180354208</v>
      </c>
      <c r="C89" s="26">
        <v>26.577328196457927</v>
      </c>
    </row>
    <row r="90" spans="1:3" x14ac:dyDescent="0.3">
      <c r="A90" s="15">
        <v>68</v>
      </c>
      <c r="B90" s="26">
        <v>480.11130036130817</v>
      </c>
      <c r="C90" s="26">
        <v>-24.14130036130814</v>
      </c>
    </row>
    <row r="91" spans="1:3" x14ac:dyDescent="0.3">
      <c r="A91" s="15">
        <v>69</v>
      </c>
      <c r="B91" s="26">
        <v>356.9327800257646</v>
      </c>
      <c r="C91" s="26">
        <v>-114.6227800257646</v>
      </c>
    </row>
    <row r="92" spans="1:3" x14ac:dyDescent="0.3">
      <c r="A92" s="15">
        <v>70</v>
      </c>
      <c r="B92" s="26">
        <v>281.34085736912539</v>
      </c>
      <c r="C92" s="26">
        <v>62.719142630874614</v>
      </c>
    </row>
    <row r="93" spans="1:3" x14ac:dyDescent="0.3">
      <c r="A93" s="15">
        <v>71</v>
      </c>
      <c r="B93" s="26">
        <v>212.52045528465214</v>
      </c>
      <c r="C93" s="26">
        <v>-67.960455284652141</v>
      </c>
    </row>
    <row r="94" spans="1:3" x14ac:dyDescent="0.3">
      <c r="A94" s="15">
        <v>72</v>
      </c>
      <c r="B94" s="26">
        <v>343.22834512686313</v>
      </c>
      <c r="C94" s="26">
        <v>98.311654873136888</v>
      </c>
    </row>
    <row r="95" spans="1:3" x14ac:dyDescent="0.3">
      <c r="A95" s="15">
        <v>73</v>
      </c>
      <c r="B95" s="26">
        <v>188.34998625789015</v>
      </c>
      <c r="C95" s="26">
        <v>-73.649986257890149</v>
      </c>
    </row>
    <row r="96" spans="1:3" x14ac:dyDescent="0.3">
      <c r="A96" s="15">
        <v>74</v>
      </c>
      <c r="B96" s="26">
        <v>281.21454921337522</v>
      </c>
      <c r="C96" s="26">
        <v>-23.794549213375205</v>
      </c>
    </row>
    <row r="97" spans="1:3" x14ac:dyDescent="0.3">
      <c r="A97" s="15">
        <v>75</v>
      </c>
      <c r="B97" s="26">
        <v>534.58520108848279</v>
      </c>
      <c r="C97" s="26">
        <v>-229.2652010884828</v>
      </c>
    </row>
    <row r="98" spans="1:3" x14ac:dyDescent="0.3">
      <c r="A98" s="15">
        <v>76</v>
      </c>
      <c r="B98" s="26">
        <v>425.34969772381345</v>
      </c>
      <c r="C98" s="26">
        <v>-167.10969772381344</v>
      </c>
    </row>
    <row r="99" spans="1:3" x14ac:dyDescent="0.3">
      <c r="A99" s="15">
        <v>77</v>
      </c>
      <c r="B99" s="26">
        <v>441.5171416598447</v>
      </c>
      <c r="C99" s="26">
        <v>-4.7141659844669448E-2</v>
      </c>
    </row>
    <row r="100" spans="1:3" x14ac:dyDescent="0.3">
      <c r="A100" s="15">
        <v>78</v>
      </c>
      <c r="B100" s="26">
        <v>180.736411314056</v>
      </c>
      <c r="C100" s="26">
        <v>-8.4764113140560085</v>
      </c>
    </row>
    <row r="101" spans="1:3" x14ac:dyDescent="0.3">
      <c r="A101" s="15">
        <v>79</v>
      </c>
      <c r="B101" s="26">
        <v>388.88874343057631</v>
      </c>
      <c r="C101" s="26">
        <v>111.21125656942371</v>
      </c>
    </row>
    <row r="102" spans="1:3" x14ac:dyDescent="0.3">
      <c r="A102" s="15">
        <v>80</v>
      </c>
      <c r="B102" s="26">
        <v>452.0884325841638</v>
      </c>
      <c r="C102" s="26">
        <v>129.07156741583617</v>
      </c>
    </row>
    <row r="103" spans="1:3" x14ac:dyDescent="0.3">
      <c r="A103" s="15">
        <v>81</v>
      </c>
      <c r="B103" s="26">
        <v>237.44877324591562</v>
      </c>
      <c r="C103" s="26">
        <v>34.431226754084378</v>
      </c>
    </row>
    <row r="104" spans="1:3" x14ac:dyDescent="0.3">
      <c r="A104" s="15">
        <v>82</v>
      </c>
      <c r="B104" s="26">
        <v>400.2389346486886</v>
      </c>
      <c r="C104" s="26">
        <v>5.1065351311422091E-2</v>
      </c>
    </row>
    <row r="105" spans="1:3" x14ac:dyDescent="0.3">
      <c r="A105" s="15">
        <v>83</v>
      </c>
      <c r="B105" s="26">
        <v>276.1727486630113</v>
      </c>
      <c r="C105" s="26">
        <v>-98.402748663011295</v>
      </c>
    </row>
    <row r="106" spans="1:3" x14ac:dyDescent="0.3">
      <c r="A106" s="15">
        <v>84</v>
      </c>
      <c r="B106" s="26">
        <v>374.62293895056268</v>
      </c>
      <c r="C106" s="26">
        <v>32.23706104943733</v>
      </c>
    </row>
    <row r="107" spans="1:3" x14ac:dyDescent="0.3">
      <c r="A107" s="15">
        <v>85</v>
      </c>
      <c r="B107" s="26">
        <v>409.0805055512057</v>
      </c>
      <c r="C107" s="26">
        <v>116.9194944487943</v>
      </c>
    </row>
    <row r="108" spans="1:3" x14ac:dyDescent="0.3">
      <c r="A108" s="15">
        <v>86</v>
      </c>
      <c r="B108" s="26">
        <v>467.66643846002717</v>
      </c>
      <c r="C108" s="26">
        <v>-133.69643846002714</v>
      </c>
    </row>
    <row r="109" spans="1:3" x14ac:dyDescent="0.3">
      <c r="A109" s="15">
        <v>87</v>
      </c>
      <c r="B109" s="26">
        <v>305.51132639588747</v>
      </c>
      <c r="C109" s="26">
        <v>0.28867360411254595</v>
      </c>
    </row>
    <row r="110" spans="1:3" x14ac:dyDescent="0.3">
      <c r="A110" s="15">
        <v>88</v>
      </c>
      <c r="B110" s="26">
        <v>505.59747934380192</v>
      </c>
      <c r="C110" s="26">
        <v>144.19252065619804</v>
      </c>
    </row>
    <row r="111" spans="1:3" x14ac:dyDescent="0.3">
      <c r="A111" s="15">
        <v>89</v>
      </c>
      <c r="B111" s="26">
        <v>403.97204236308465</v>
      </c>
      <c r="C111" s="26">
        <v>37.557957636915319</v>
      </c>
    </row>
    <row r="112" spans="1:3" x14ac:dyDescent="0.3">
      <c r="A112" s="15">
        <v>90</v>
      </c>
      <c r="B112" s="26">
        <v>442.62233802265933</v>
      </c>
      <c r="C112" s="26">
        <v>37.887661977340656</v>
      </c>
    </row>
    <row r="113" spans="1:3" x14ac:dyDescent="0.3">
      <c r="A113" s="15">
        <v>91</v>
      </c>
      <c r="B113" s="26">
        <v>385.4538633061461</v>
      </c>
      <c r="C113" s="26">
        <v>-38.463863306146095</v>
      </c>
    </row>
    <row r="114" spans="1:3" x14ac:dyDescent="0.3">
      <c r="A114" s="15">
        <v>92</v>
      </c>
      <c r="B114" s="26">
        <v>254.2968777990454</v>
      </c>
      <c r="C114" s="26">
        <v>-25.066877799045415</v>
      </c>
    </row>
    <row r="115" spans="1:3" x14ac:dyDescent="0.3">
      <c r="A115" s="15">
        <v>93</v>
      </c>
      <c r="B115" s="26">
        <v>306.1112901357011</v>
      </c>
      <c r="C115" s="26">
        <v>28.728709864298878</v>
      </c>
    </row>
    <row r="116" spans="1:3" x14ac:dyDescent="0.3">
      <c r="A116" s="15">
        <v>94</v>
      </c>
      <c r="B116" s="26">
        <v>405.58948846866417</v>
      </c>
      <c r="C116" s="26">
        <v>-173.79948846866418</v>
      </c>
    </row>
    <row r="117" spans="1:3" x14ac:dyDescent="0.3">
      <c r="A117" s="15">
        <v>95</v>
      </c>
      <c r="B117" s="26">
        <v>338.00059090275573</v>
      </c>
      <c r="C117" s="26">
        <v>-9.4605909027557118</v>
      </c>
    </row>
    <row r="118" spans="1:3" x14ac:dyDescent="0.3">
      <c r="A118" s="15">
        <v>96</v>
      </c>
      <c r="B118" s="26">
        <v>320.87180155906992</v>
      </c>
      <c r="C118" s="26">
        <v>46.118198440930087</v>
      </c>
    </row>
    <row r="119" spans="1:3" x14ac:dyDescent="0.3">
      <c r="A119" s="15">
        <v>97</v>
      </c>
      <c r="B119" s="26">
        <v>410.51199798304174</v>
      </c>
      <c r="C119" s="26">
        <v>-61.551997983041758</v>
      </c>
    </row>
    <row r="120" spans="1:3" x14ac:dyDescent="0.3">
      <c r="A120" s="15">
        <v>98</v>
      </c>
      <c r="B120" s="26">
        <v>422.03761719525147</v>
      </c>
      <c r="C120" s="26">
        <v>120.58238280474853</v>
      </c>
    </row>
    <row r="121" spans="1:3" x14ac:dyDescent="0.3">
      <c r="A121" s="15">
        <v>99</v>
      </c>
      <c r="B121" s="26">
        <v>289.10179182800152</v>
      </c>
      <c r="C121" s="26">
        <v>8.588208171998474</v>
      </c>
    </row>
    <row r="122" spans="1:3" x14ac:dyDescent="0.3">
      <c r="A122" s="15">
        <v>100</v>
      </c>
      <c r="B122" s="26">
        <v>315.50721349956649</v>
      </c>
      <c r="C122" s="26">
        <v>135.59278650043353</v>
      </c>
    </row>
    <row r="123" spans="1:3" x14ac:dyDescent="0.3">
      <c r="A123" s="15">
        <v>101</v>
      </c>
      <c r="B123" s="26">
        <v>204.55953291250484</v>
      </c>
      <c r="C123" s="26">
        <v>6.3904670874951535</v>
      </c>
    </row>
    <row r="124" spans="1:3" x14ac:dyDescent="0.3">
      <c r="A124" s="15">
        <v>102</v>
      </c>
      <c r="B124" s="26">
        <v>346.38254046073729</v>
      </c>
      <c r="C124" s="26">
        <v>99.207459539262686</v>
      </c>
    </row>
    <row r="125" spans="1:3" x14ac:dyDescent="0.3">
      <c r="A125" s="15">
        <v>103</v>
      </c>
      <c r="B125" s="26">
        <v>354.76799857860067</v>
      </c>
      <c r="C125" s="26">
        <v>-151.94799857860068</v>
      </c>
    </row>
    <row r="126" spans="1:3" x14ac:dyDescent="0.3">
      <c r="A126" s="15">
        <v>104</v>
      </c>
      <c r="B126" s="26">
        <v>323.61198682687376</v>
      </c>
      <c r="C126" s="26">
        <v>-92.291986826873767</v>
      </c>
    </row>
    <row r="127" spans="1:3" x14ac:dyDescent="0.3">
      <c r="A127" s="15">
        <v>105</v>
      </c>
      <c r="B127" s="26">
        <v>450.3587125623618</v>
      </c>
      <c r="C127" s="26">
        <v>-6.8712562361781693E-2</v>
      </c>
    </row>
    <row r="128" spans="1:3" x14ac:dyDescent="0.3">
      <c r="A128" s="15">
        <v>106</v>
      </c>
      <c r="B128" s="26">
        <v>336.3585848780026</v>
      </c>
      <c r="C128" s="26">
        <v>-28.638584878002575</v>
      </c>
    </row>
    <row r="129" spans="1:3" x14ac:dyDescent="0.3">
      <c r="A129" s="15">
        <v>107</v>
      </c>
      <c r="B129" s="26">
        <v>378.29289258708366</v>
      </c>
      <c r="C129" s="26">
        <v>-10.702892587083682</v>
      </c>
    </row>
    <row r="130" spans="1:3" x14ac:dyDescent="0.3">
      <c r="A130" s="15">
        <v>108</v>
      </c>
      <c r="B130" s="26">
        <v>673.8960797612383</v>
      </c>
      <c r="C130" s="26">
        <v>95.563920238761739</v>
      </c>
    </row>
    <row r="131" spans="1:3" x14ac:dyDescent="0.3">
      <c r="A131" s="15">
        <v>109</v>
      </c>
      <c r="B131" s="26">
        <v>254.64071666747662</v>
      </c>
      <c r="C131" s="26">
        <v>73.279283332523391</v>
      </c>
    </row>
    <row r="132" spans="1:3" x14ac:dyDescent="0.3">
      <c r="A132" s="15">
        <v>110</v>
      </c>
      <c r="B132" s="26">
        <v>455.74435198115697</v>
      </c>
      <c r="C132" s="26">
        <v>97.555648018842987</v>
      </c>
    </row>
    <row r="133" spans="1:3" x14ac:dyDescent="0.3">
      <c r="A133" s="15">
        <v>111</v>
      </c>
      <c r="B133" s="26">
        <v>342.87047201890408</v>
      </c>
      <c r="C133" s="26">
        <v>9.9895279810959323</v>
      </c>
    </row>
    <row r="134" spans="1:3" x14ac:dyDescent="0.3">
      <c r="A134" s="15">
        <v>112</v>
      </c>
      <c r="B134" s="26">
        <v>243.71506119508052</v>
      </c>
      <c r="C134" s="26">
        <v>70.194938804919502</v>
      </c>
    </row>
    <row r="135" spans="1:3" x14ac:dyDescent="0.3">
      <c r="A135" s="15">
        <v>113</v>
      </c>
      <c r="B135" s="26">
        <v>417.75366557938906</v>
      </c>
      <c r="C135" s="26">
        <v>-62.653665579389042</v>
      </c>
    </row>
    <row r="136" spans="1:3" x14ac:dyDescent="0.3">
      <c r="A136" s="15">
        <v>114</v>
      </c>
      <c r="B136" s="26">
        <v>269.48543352801221</v>
      </c>
      <c r="C136" s="26">
        <v>-76.725433528012218</v>
      </c>
    </row>
    <row r="137" spans="1:3" x14ac:dyDescent="0.3">
      <c r="A137" s="15">
        <v>115</v>
      </c>
      <c r="B137" s="26">
        <v>230.91583474572244</v>
      </c>
      <c r="C137" s="26">
        <v>33.524165254277563</v>
      </c>
    </row>
    <row r="138" spans="1:3" x14ac:dyDescent="0.3">
      <c r="A138" s="15">
        <v>116</v>
      </c>
      <c r="B138" s="26">
        <v>240.64857985825515</v>
      </c>
      <c r="C138" s="26">
        <v>-68.438579858255139</v>
      </c>
    </row>
    <row r="139" spans="1:3" x14ac:dyDescent="0.3">
      <c r="A139" s="15">
        <v>117</v>
      </c>
      <c r="B139" s="26">
        <v>437.22266436433637</v>
      </c>
      <c r="C139" s="26">
        <v>37.437335635663658</v>
      </c>
    </row>
    <row r="140" spans="1:3" x14ac:dyDescent="0.3">
      <c r="A140" s="15">
        <v>118</v>
      </c>
      <c r="B140" s="26">
        <v>354.81360985706607</v>
      </c>
      <c r="C140" s="26">
        <v>78.766390142933915</v>
      </c>
    </row>
    <row r="141" spans="1:3" x14ac:dyDescent="0.3">
      <c r="A141" s="15">
        <v>119</v>
      </c>
      <c r="B141" s="26">
        <v>353.53649406003581</v>
      </c>
      <c r="C141" s="26">
        <v>-9.9364940600357841</v>
      </c>
    </row>
    <row r="142" spans="1:3" x14ac:dyDescent="0.3">
      <c r="A142" s="15">
        <v>120</v>
      </c>
      <c r="B142" s="26">
        <v>334.8393784491177</v>
      </c>
      <c r="C142" s="26">
        <v>-16.539378449117692</v>
      </c>
    </row>
    <row r="143" spans="1:3" x14ac:dyDescent="0.3">
      <c r="A143" s="15">
        <v>121</v>
      </c>
      <c r="B143" s="26">
        <v>377.16313630509535</v>
      </c>
      <c r="C143" s="26">
        <v>-18.753136305095325</v>
      </c>
    </row>
    <row r="144" spans="1:3" x14ac:dyDescent="0.3">
      <c r="A144" s="15">
        <v>122</v>
      </c>
      <c r="B144" s="26">
        <v>407.01747234061833</v>
      </c>
      <c r="C144" s="26">
        <v>174.48252765938167</v>
      </c>
    </row>
    <row r="145" spans="1:3" x14ac:dyDescent="0.3">
      <c r="A145" s="15">
        <v>123</v>
      </c>
      <c r="B145" s="26">
        <v>354.93290089305236</v>
      </c>
      <c r="C145" s="26">
        <v>55.967099106947614</v>
      </c>
    </row>
    <row r="146" spans="1:3" x14ac:dyDescent="0.3">
      <c r="A146" s="15">
        <v>124</v>
      </c>
      <c r="B146" s="26">
        <v>250.89708327343465</v>
      </c>
      <c r="C146" s="26">
        <v>-71.387083273434655</v>
      </c>
    </row>
    <row r="147" spans="1:3" x14ac:dyDescent="0.3">
      <c r="A147" s="15">
        <v>125</v>
      </c>
      <c r="B147" s="26">
        <v>447.30977402494614</v>
      </c>
      <c r="C147" s="26">
        <v>63.83022597505385</v>
      </c>
    </row>
    <row r="148" spans="1:3" x14ac:dyDescent="0.3">
      <c r="A148" s="15">
        <v>126</v>
      </c>
      <c r="B148" s="26">
        <v>246.92890204694783</v>
      </c>
      <c r="C148" s="26">
        <v>-96.748902046947819</v>
      </c>
    </row>
    <row r="149" spans="1:3" x14ac:dyDescent="0.3">
      <c r="A149" s="15">
        <v>127</v>
      </c>
      <c r="B149" s="26">
        <v>493.88239789796671</v>
      </c>
      <c r="C149" s="26">
        <v>-141.23239789796673</v>
      </c>
    </row>
    <row r="150" spans="1:3" x14ac:dyDescent="0.3">
      <c r="A150" s="15">
        <v>128</v>
      </c>
      <c r="B150" s="26">
        <v>472.73981604932868</v>
      </c>
      <c r="C150" s="26">
        <v>-0.1198160493286764</v>
      </c>
    </row>
    <row r="151" spans="1:3" x14ac:dyDescent="0.3">
      <c r="A151" s="15">
        <v>129</v>
      </c>
      <c r="B151" s="26">
        <v>321.46825673900156</v>
      </c>
      <c r="C151" s="26">
        <v>-126.13825673900155</v>
      </c>
    </row>
    <row r="152" spans="1:3" x14ac:dyDescent="0.3">
      <c r="A152" s="15">
        <v>130</v>
      </c>
      <c r="B152" s="26">
        <v>89.668231018129987</v>
      </c>
      <c r="C152" s="26">
        <v>-25.038231018129991</v>
      </c>
    </row>
    <row r="153" spans="1:3" x14ac:dyDescent="0.3">
      <c r="A153" s="15">
        <v>131</v>
      </c>
      <c r="B153" s="26">
        <v>424.72517406482615</v>
      </c>
      <c r="C153" s="26">
        <v>36.394825935173856</v>
      </c>
    </row>
    <row r="154" spans="1:3" x14ac:dyDescent="0.3">
      <c r="A154" s="15">
        <v>132</v>
      </c>
      <c r="B154" s="26">
        <v>402.55107561089443</v>
      </c>
      <c r="C154" s="26">
        <v>34.558924389105584</v>
      </c>
    </row>
    <row r="155" spans="1:3" x14ac:dyDescent="0.3">
      <c r="A155" s="15">
        <v>133</v>
      </c>
      <c r="B155" s="26">
        <v>298.55034359009619</v>
      </c>
      <c r="C155" s="26">
        <v>-29.580343590096163</v>
      </c>
    </row>
    <row r="156" spans="1:3" x14ac:dyDescent="0.3">
      <c r="A156" s="15">
        <v>134</v>
      </c>
      <c r="B156" s="26">
        <v>371.24068722436169</v>
      </c>
      <c r="C156" s="26">
        <v>-105.9806872243617</v>
      </c>
    </row>
    <row r="157" spans="1:3" x14ac:dyDescent="0.3">
      <c r="A157" s="15">
        <v>135</v>
      </c>
      <c r="B157" s="26">
        <v>312.82667374975568</v>
      </c>
      <c r="C157" s="26">
        <v>-133.91667374975569</v>
      </c>
    </row>
    <row r="158" spans="1:3" x14ac:dyDescent="0.3">
      <c r="A158" s="15">
        <v>136</v>
      </c>
      <c r="B158" s="26">
        <v>291.5507666256035</v>
      </c>
      <c r="C158" s="26">
        <v>64.949233374396499</v>
      </c>
    </row>
    <row r="159" spans="1:3" x14ac:dyDescent="0.3">
      <c r="A159" s="15">
        <v>137</v>
      </c>
      <c r="B159" s="26">
        <v>286.73702246756642</v>
      </c>
      <c r="C159" s="26">
        <v>-57.087022467566413</v>
      </c>
    </row>
    <row r="160" spans="1:3" x14ac:dyDescent="0.3">
      <c r="A160" s="15">
        <v>138</v>
      </c>
      <c r="B160" s="26">
        <v>178.51549290878089</v>
      </c>
      <c r="C160" s="26">
        <v>-56.975492908780879</v>
      </c>
    </row>
    <row r="161" spans="1:3" x14ac:dyDescent="0.3">
      <c r="A161" s="15">
        <v>139</v>
      </c>
      <c r="B161" s="26">
        <v>281.76890167472345</v>
      </c>
      <c r="C161" s="26">
        <v>-13.768901674723452</v>
      </c>
    </row>
    <row r="162" spans="1:3" x14ac:dyDescent="0.3">
      <c r="A162" s="15">
        <v>140</v>
      </c>
      <c r="B162" s="26">
        <v>501.55912691967603</v>
      </c>
      <c r="C162" s="26">
        <v>-75.399126919676007</v>
      </c>
    </row>
    <row r="163" spans="1:3" x14ac:dyDescent="0.3">
      <c r="A163" s="15">
        <v>141</v>
      </c>
      <c r="B163" s="26">
        <v>521.24565641730442</v>
      </c>
      <c r="C163" s="26">
        <v>-204.92565641730442</v>
      </c>
    </row>
    <row r="164" spans="1:3" x14ac:dyDescent="0.3">
      <c r="A164" s="15">
        <v>142</v>
      </c>
      <c r="B164" s="26">
        <v>430.96339353493545</v>
      </c>
      <c r="C164" s="26">
        <v>61.536606465064551</v>
      </c>
    </row>
    <row r="165" spans="1:3" x14ac:dyDescent="0.3">
      <c r="A165" s="15">
        <v>143</v>
      </c>
      <c r="B165" s="26">
        <v>406.54732531643691</v>
      </c>
      <c r="C165" s="26">
        <v>-174.2173253164369</v>
      </c>
    </row>
    <row r="166" spans="1:3" x14ac:dyDescent="0.3">
      <c r="A166" s="15">
        <v>144</v>
      </c>
      <c r="B166" s="26">
        <v>135.18126980680128</v>
      </c>
      <c r="C166" s="26">
        <v>30.788730193198717</v>
      </c>
    </row>
    <row r="167" spans="1:3" x14ac:dyDescent="0.3">
      <c r="A167" s="15">
        <v>145</v>
      </c>
      <c r="B167" s="26">
        <v>556.62597426690058</v>
      </c>
      <c r="C167" s="26">
        <v>118.87402573309942</v>
      </c>
    </row>
    <row r="168" spans="1:3" x14ac:dyDescent="0.3">
      <c r="A168" s="15">
        <v>146</v>
      </c>
      <c r="B168" s="26">
        <v>117.08762649557883</v>
      </c>
      <c r="C168" s="26">
        <v>17.572373504421165</v>
      </c>
    </row>
    <row r="169" spans="1:3" x14ac:dyDescent="0.3">
      <c r="A169" s="15">
        <v>147</v>
      </c>
      <c r="B169" s="26">
        <v>473.9537777684838</v>
      </c>
      <c r="C169" s="26">
        <v>13.40622223151621</v>
      </c>
    </row>
    <row r="170" spans="1:3" x14ac:dyDescent="0.3">
      <c r="A170" s="15">
        <v>148</v>
      </c>
      <c r="B170" s="26">
        <v>231.44913584777902</v>
      </c>
      <c r="C170" s="26">
        <v>83.29086415222099</v>
      </c>
    </row>
    <row r="171" spans="1:3" x14ac:dyDescent="0.3">
      <c r="A171" s="15">
        <v>149</v>
      </c>
      <c r="B171" s="26">
        <v>107.53030937714368</v>
      </c>
      <c r="C171" s="26">
        <v>3.8596906228563199</v>
      </c>
    </row>
    <row r="172" spans="1:3" x14ac:dyDescent="0.3">
      <c r="A172" s="15">
        <v>150</v>
      </c>
      <c r="B172" s="26">
        <v>309.34618234686013</v>
      </c>
      <c r="C172" s="26">
        <v>9.1238176531398949</v>
      </c>
    </row>
    <row r="173" spans="1:3" x14ac:dyDescent="0.3">
      <c r="A173" s="15">
        <v>151</v>
      </c>
      <c r="B173" s="26">
        <v>260.37370351458492</v>
      </c>
      <c r="C173" s="26">
        <v>41.376296485415082</v>
      </c>
    </row>
    <row r="174" spans="1:3" x14ac:dyDescent="0.3">
      <c r="A174" s="15">
        <v>152</v>
      </c>
      <c r="B174" s="26">
        <v>304.29385611685035</v>
      </c>
      <c r="C174" s="26">
        <v>109.06614388314966</v>
      </c>
    </row>
    <row r="175" spans="1:3" x14ac:dyDescent="0.3">
      <c r="A175" s="15">
        <v>153</v>
      </c>
      <c r="B175" s="26">
        <v>301.47297397176158</v>
      </c>
      <c r="C175" s="26">
        <v>-14.792973971761569</v>
      </c>
    </row>
    <row r="176" spans="1:3" x14ac:dyDescent="0.3">
      <c r="A176" s="15">
        <v>154</v>
      </c>
      <c r="B176" s="26">
        <v>409.8839657641725</v>
      </c>
      <c r="C176" s="26">
        <v>146.42603423582744</v>
      </c>
    </row>
    <row r="177" spans="1:3" x14ac:dyDescent="0.3">
      <c r="A177" s="15">
        <v>155</v>
      </c>
      <c r="B177" s="26">
        <v>368.96714042085728</v>
      </c>
      <c r="C177" s="26">
        <v>-36.777140420857279</v>
      </c>
    </row>
    <row r="178" spans="1:3" x14ac:dyDescent="0.3">
      <c r="A178" s="15">
        <v>156</v>
      </c>
      <c r="B178" s="26">
        <v>588.83104542333081</v>
      </c>
      <c r="C178" s="26">
        <v>-252.5910454233308</v>
      </c>
    </row>
    <row r="179" spans="1:3" x14ac:dyDescent="0.3">
      <c r="A179" s="15">
        <v>157</v>
      </c>
      <c r="B179" s="26">
        <v>132.21302814667055</v>
      </c>
      <c r="C179" s="26">
        <v>48.176971853329434</v>
      </c>
    </row>
    <row r="180" spans="1:3" x14ac:dyDescent="0.3">
      <c r="A180" s="15">
        <v>158</v>
      </c>
      <c r="B180" s="26">
        <v>376.60527528386507</v>
      </c>
      <c r="C180" s="26">
        <v>107.74472471613495</v>
      </c>
    </row>
    <row r="181" spans="1:3" x14ac:dyDescent="0.3">
      <c r="A181" s="15">
        <v>159</v>
      </c>
      <c r="B181" s="26">
        <v>437.78754250533058</v>
      </c>
      <c r="C181" s="26">
        <v>125.03245749466947</v>
      </c>
    </row>
    <row r="182" spans="1:3" x14ac:dyDescent="0.3">
      <c r="A182" s="15">
        <v>160</v>
      </c>
      <c r="B182" s="26">
        <v>391.34473534794216</v>
      </c>
      <c r="C182" s="26">
        <v>55.995264652057813</v>
      </c>
    </row>
    <row r="183" spans="1:3" x14ac:dyDescent="0.3">
      <c r="A183" s="15">
        <v>161</v>
      </c>
      <c r="B183" s="26">
        <v>568.27439307497866</v>
      </c>
      <c r="C183" s="26">
        <v>80.775606925021293</v>
      </c>
    </row>
    <row r="184" spans="1:3" x14ac:dyDescent="0.3">
      <c r="A184" s="15">
        <v>162</v>
      </c>
      <c r="B184" s="26">
        <v>223.74082978713216</v>
      </c>
      <c r="C184" s="26">
        <v>-18.740829787132157</v>
      </c>
    </row>
    <row r="185" spans="1:3" x14ac:dyDescent="0.3">
      <c r="A185" s="15">
        <v>163</v>
      </c>
      <c r="B185" s="26">
        <v>204.27533956206676</v>
      </c>
      <c r="C185" s="26">
        <v>59.044660437933231</v>
      </c>
    </row>
    <row r="186" spans="1:3" x14ac:dyDescent="0.3">
      <c r="A186" s="15">
        <v>164</v>
      </c>
      <c r="B186" s="26">
        <v>388.41157928663097</v>
      </c>
      <c r="C186" s="26">
        <v>55.578420713369042</v>
      </c>
    </row>
    <row r="187" spans="1:3" x14ac:dyDescent="0.3">
      <c r="A187" s="15">
        <v>165</v>
      </c>
      <c r="B187" s="26">
        <v>384.23639302710899</v>
      </c>
      <c r="C187" s="26">
        <v>11.073606972891014</v>
      </c>
    </row>
    <row r="188" spans="1:3" x14ac:dyDescent="0.3">
      <c r="A188" s="15">
        <v>166</v>
      </c>
      <c r="B188" s="26">
        <v>289.214065744224</v>
      </c>
      <c r="C188" s="26">
        <v>45.825934255776019</v>
      </c>
    </row>
    <row r="189" spans="1:3" x14ac:dyDescent="0.3">
      <c r="A189" s="15">
        <v>167</v>
      </c>
      <c r="B189" s="26">
        <v>259.26149003200635</v>
      </c>
      <c r="C189" s="26">
        <v>74.588509967993673</v>
      </c>
    </row>
    <row r="190" spans="1:3" x14ac:dyDescent="0.3">
      <c r="A190" s="15">
        <v>168</v>
      </c>
      <c r="B190" s="26">
        <v>459.03187259054522</v>
      </c>
      <c r="C190" s="26">
        <v>72.028127409454726</v>
      </c>
    </row>
    <row r="191" spans="1:3" x14ac:dyDescent="0.3">
      <c r="A191" s="15">
        <v>169</v>
      </c>
      <c r="B191" s="26">
        <v>200.12120466183654</v>
      </c>
      <c r="C191" s="26">
        <v>32.068795338163454</v>
      </c>
    </row>
    <row r="192" spans="1:3" x14ac:dyDescent="0.3">
      <c r="A192" s="15">
        <v>170</v>
      </c>
      <c r="B192" s="26">
        <v>390.25006466477345</v>
      </c>
      <c r="C192" s="26">
        <v>-167.21006466477345</v>
      </c>
    </row>
    <row r="193" spans="1:3" x14ac:dyDescent="0.3">
      <c r="A193" s="15">
        <v>171</v>
      </c>
      <c r="B193" s="26">
        <v>295.73647856477135</v>
      </c>
      <c r="C193" s="26">
        <v>127.18352143522867</v>
      </c>
    </row>
    <row r="194" spans="1:3" x14ac:dyDescent="0.3">
      <c r="A194" s="15">
        <v>172</v>
      </c>
      <c r="B194" s="26">
        <v>360.27994615314606</v>
      </c>
      <c r="C194" s="26">
        <v>-102.82994615314607</v>
      </c>
    </row>
    <row r="195" spans="1:3" x14ac:dyDescent="0.3">
      <c r="A195" s="15">
        <v>173</v>
      </c>
      <c r="B195" s="26">
        <v>416.42742994401146</v>
      </c>
      <c r="C195" s="26">
        <v>-35.677429944011465</v>
      </c>
    </row>
    <row r="196" spans="1:3" x14ac:dyDescent="0.3">
      <c r="A196" s="15">
        <v>174</v>
      </c>
      <c r="B196" s="26">
        <v>246.06930487586976</v>
      </c>
      <c r="C196" s="26">
        <v>-20.699304875869757</v>
      </c>
    </row>
    <row r="197" spans="1:3" x14ac:dyDescent="0.3">
      <c r="A197" s="15">
        <v>175</v>
      </c>
      <c r="B197" s="26">
        <v>566.73062672692004</v>
      </c>
      <c r="C197" s="26">
        <v>15.829373273079909</v>
      </c>
    </row>
    <row r="198" spans="1:3" x14ac:dyDescent="0.3">
      <c r="A198" s="15">
        <v>176</v>
      </c>
      <c r="B198" s="26">
        <v>354.88728961458702</v>
      </c>
      <c r="C198" s="26">
        <v>-9.9772896145869936</v>
      </c>
    </row>
    <row r="199" spans="1:3" x14ac:dyDescent="0.3">
      <c r="A199" s="15">
        <v>177</v>
      </c>
      <c r="B199" s="26">
        <v>289.11582606752938</v>
      </c>
      <c r="C199" s="26">
        <v>41.674173932470637</v>
      </c>
    </row>
    <row r="200" spans="1:3" x14ac:dyDescent="0.3">
      <c r="A200" s="15">
        <v>178</v>
      </c>
      <c r="B200" s="26">
        <v>357.62396632250898</v>
      </c>
      <c r="C200" s="26">
        <v>102.37603367749102</v>
      </c>
    </row>
    <row r="201" spans="1:3" x14ac:dyDescent="0.3">
      <c r="A201" s="15">
        <v>179</v>
      </c>
      <c r="B201" s="26">
        <v>384.8012711681032</v>
      </c>
      <c r="C201" s="26">
        <v>55.078728831896797</v>
      </c>
    </row>
    <row r="202" spans="1:3" x14ac:dyDescent="0.3">
      <c r="A202" s="15">
        <v>180</v>
      </c>
      <c r="B202" s="26">
        <v>248.25864624220733</v>
      </c>
      <c r="C202" s="26">
        <v>7.5313537577926581</v>
      </c>
    </row>
    <row r="203" spans="1:3" x14ac:dyDescent="0.3">
      <c r="A203" s="15">
        <v>181</v>
      </c>
      <c r="B203" s="26">
        <v>174.10874169705014</v>
      </c>
      <c r="C203" s="26">
        <v>-14.368741697050126</v>
      </c>
    </row>
    <row r="204" spans="1:3" x14ac:dyDescent="0.3">
      <c r="A204" s="15">
        <v>182</v>
      </c>
      <c r="B204" s="26">
        <v>372.34588358717633</v>
      </c>
      <c r="C204" s="26">
        <v>32.044116412823655</v>
      </c>
    </row>
    <row r="205" spans="1:3" x14ac:dyDescent="0.3">
      <c r="A205" s="15">
        <v>183</v>
      </c>
      <c r="B205" s="26">
        <v>152.91002289030084</v>
      </c>
      <c r="C205" s="26">
        <v>34.659977109699156</v>
      </c>
    </row>
    <row r="206" spans="1:3" x14ac:dyDescent="0.3">
      <c r="A206" s="15">
        <v>184</v>
      </c>
      <c r="B206" s="26">
        <v>302.45186217882593</v>
      </c>
      <c r="C206" s="26">
        <v>108.41813782117407</v>
      </c>
    </row>
    <row r="207" spans="1:3" x14ac:dyDescent="0.3">
      <c r="A207" s="15">
        <v>185</v>
      </c>
      <c r="B207" s="26">
        <v>344.53703796283088</v>
      </c>
      <c r="C207" s="26">
        <v>-68.757037962830907</v>
      </c>
    </row>
    <row r="208" spans="1:3" x14ac:dyDescent="0.3">
      <c r="A208" s="15">
        <v>186</v>
      </c>
      <c r="B208" s="26">
        <v>522.96835931934243</v>
      </c>
      <c r="C208" s="26">
        <v>223.77164068065758</v>
      </c>
    </row>
    <row r="209" spans="1:3" x14ac:dyDescent="0.3">
      <c r="A209" s="15">
        <v>187</v>
      </c>
      <c r="B209" s="26">
        <v>240.85909345117219</v>
      </c>
      <c r="C209" s="26">
        <v>69.380906548827824</v>
      </c>
    </row>
    <row r="210" spans="1:3" x14ac:dyDescent="0.3">
      <c r="A210" s="15">
        <v>188</v>
      </c>
      <c r="B210" s="26">
        <v>238.33643889604926</v>
      </c>
      <c r="C210" s="26">
        <v>102.78356110395075</v>
      </c>
    </row>
    <row r="211" spans="1:3" x14ac:dyDescent="0.3">
      <c r="A211" s="15">
        <v>189</v>
      </c>
      <c r="B211" s="26">
        <v>159.84995433680035</v>
      </c>
      <c r="C211" s="26">
        <v>-68.139954336800358</v>
      </c>
    </row>
    <row r="212" spans="1:3" x14ac:dyDescent="0.3">
      <c r="A212" s="15">
        <v>190</v>
      </c>
      <c r="B212" s="26">
        <v>414.46965352988275</v>
      </c>
      <c r="C212" s="26">
        <v>-82.879653529882773</v>
      </c>
    </row>
    <row r="213" spans="1:3" x14ac:dyDescent="0.3">
      <c r="A213" s="15">
        <v>191</v>
      </c>
      <c r="B213" s="26">
        <v>266.36983235283952</v>
      </c>
      <c r="C213" s="26">
        <v>114.70016764716047</v>
      </c>
    </row>
    <row r="214" spans="1:3" x14ac:dyDescent="0.3">
      <c r="A214" s="15">
        <v>192</v>
      </c>
      <c r="B214" s="26">
        <v>262.3595484077693</v>
      </c>
      <c r="C214" s="26">
        <v>-7.1195484077692868</v>
      </c>
    </row>
    <row r="215" spans="1:3" x14ac:dyDescent="0.3">
      <c r="A215" s="15">
        <v>193</v>
      </c>
      <c r="B215" s="26">
        <v>510.1445729508107</v>
      </c>
      <c r="C215" s="26">
        <v>181.90542704918926</v>
      </c>
    </row>
    <row r="216" spans="1:3" x14ac:dyDescent="0.3">
      <c r="A216" s="15">
        <v>194</v>
      </c>
      <c r="B216" s="26">
        <v>382.58736988259199</v>
      </c>
      <c r="C216" s="26">
        <v>-38.177369882591961</v>
      </c>
    </row>
    <row r="217" spans="1:3" x14ac:dyDescent="0.3">
      <c r="A217" s="15">
        <v>195</v>
      </c>
      <c r="B217" s="26">
        <v>326.76267360086598</v>
      </c>
      <c r="C217" s="26">
        <v>70.297326399134022</v>
      </c>
    </row>
    <row r="218" spans="1:3" x14ac:dyDescent="0.3">
      <c r="A218" s="15">
        <v>196</v>
      </c>
      <c r="B218" s="26">
        <v>513.09527181153157</v>
      </c>
      <c r="C218" s="26">
        <v>73.044728188468412</v>
      </c>
    </row>
    <row r="219" spans="1:3" x14ac:dyDescent="0.3">
      <c r="A219" s="15">
        <v>197</v>
      </c>
      <c r="B219" s="26">
        <v>258.88256556475562</v>
      </c>
      <c r="C219" s="26">
        <v>74.47743443524439</v>
      </c>
    </row>
    <row r="220" spans="1:3" x14ac:dyDescent="0.3">
      <c r="A220" s="15">
        <v>198</v>
      </c>
      <c r="B220" s="26">
        <v>190.33933971095652</v>
      </c>
      <c r="C220" s="26">
        <v>55.110660289043466</v>
      </c>
    </row>
    <row r="221" spans="1:3" x14ac:dyDescent="0.3">
      <c r="A221" s="15">
        <v>199</v>
      </c>
      <c r="B221" s="26">
        <v>348.98589189314504</v>
      </c>
      <c r="C221" s="26">
        <v>30.104108106854937</v>
      </c>
    </row>
    <row r="222" spans="1:3" x14ac:dyDescent="0.3">
      <c r="A222" s="15">
        <v>200</v>
      </c>
      <c r="B222" s="26">
        <v>324.67508047110505</v>
      </c>
      <c r="C222" s="26">
        <v>116.27491952889494</v>
      </c>
    </row>
  </sheetData>
  <mergeCells count="4">
    <mergeCell ref="A21:C21"/>
    <mergeCell ref="A1:J1"/>
    <mergeCell ref="A3:B3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4229-C349-427E-A0F9-3BBE834679EE}">
  <dimension ref="A1:J16"/>
  <sheetViews>
    <sheetView workbookViewId="0">
      <selection activeCell="K1" sqref="K1"/>
    </sheetView>
  </sheetViews>
  <sheetFormatPr defaultRowHeight="14.4" x14ac:dyDescent="0.3"/>
  <cols>
    <col min="1" max="1" width="20.21875" customWidth="1"/>
    <col min="2" max="2" width="12.6640625" bestFit="1" customWidth="1"/>
    <col min="3" max="3" width="16.5546875" bestFit="1" customWidth="1"/>
    <col min="4" max="4" width="12.6640625" bestFit="1" customWidth="1"/>
    <col min="5" max="5" width="16.5546875" bestFit="1" customWidth="1"/>
    <col min="6" max="6" width="12.6640625" bestFit="1" customWidth="1"/>
    <col min="7" max="7" width="16.5546875" bestFit="1" customWidth="1"/>
    <col min="8" max="8" width="12.6640625" bestFit="1" customWidth="1"/>
    <col min="9" max="9" width="16.5546875" bestFit="1" customWidth="1"/>
    <col min="10" max="10" width="12.33203125" customWidth="1"/>
  </cols>
  <sheetData>
    <row r="1" spans="1:10" ht="25.8" x14ac:dyDescent="0.5">
      <c r="A1" s="59" t="s">
        <v>147</v>
      </c>
      <c r="B1" s="59"/>
      <c r="C1" s="59"/>
      <c r="D1" s="59"/>
      <c r="E1" s="59"/>
      <c r="F1" s="59"/>
      <c r="G1" s="59"/>
      <c r="H1" s="59"/>
      <c r="I1" s="29"/>
      <c r="J1" s="29"/>
    </row>
    <row r="3" spans="1:10" ht="24" customHeight="1" x14ac:dyDescent="0.3">
      <c r="A3" s="30" t="s">
        <v>128</v>
      </c>
      <c r="B3" s="30" t="s">
        <v>4</v>
      </c>
      <c r="C3" s="30" t="s">
        <v>5</v>
      </c>
      <c r="D3" s="30" t="s">
        <v>6</v>
      </c>
      <c r="E3" s="30" t="s">
        <v>8</v>
      </c>
    </row>
    <row r="4" spans="1:10" ht="24" customHeight="1" x14ac:dyDescent="0.3">
      <c r="A4" s="16" t="s">
        <v>115</v>
      </c>
      <c r="B4" s="17">
        <v>976.08879999999965</v>
      </c>
      <c r="C4" s="17">
        <v>9.9949999999999992</v>
      </c>
      <c r="D4" s="17">
        <v>9.7250000000000003E-2</v>
      </c>
      <c r="E4" s="17">
        <v>341.43505000000005</v>
      </c>
    </row>
    <row r="5" spans="1:10" ht="24" customHeight="1" x14ac:dyDescent="0.3">
      <c r="A5" s="16" t="s">
        <v>90</v>
      </c>
      <c r="B5" s="31">
        <v>21.161850448978406</v>
      </c>
      <c r="C5" s="31">
        <v>0.39927682743257598</v>
      </c>
      <c r="D5" s="31">
        <v>5.1142413732752686E-3</v>
      </c>
      <c r="E5" s="31">
        <v>9.6001196472332531</v>
      </c>
    </row>
    <row r="6" spans="1:10" ht="24" customHeight="1" x14ac:dyDescent="0.3">
      <c r="A6" s="16" t="s">
        <v>116</v>
      </c>
      <c r="B6" s="17">
        <v>976.72</v>
      </c>
      <c r="C6" s="17">
        <v>10</v>
      </c>
      <c r="D6" s="17">
        <v>0.1</v>
      </c>
      <c r="E6" s="17">
        <v>332.255</v>
      </c>
    </row>
    <row r="7" spans="1:10" ht="24" customHeight="1" x14ac:dyDescent="0.3">
      <c r="A7" s="16" t="s">
        <v>117</v>
      </c>
      <c r="B7" s="10" t="s">
        <v>127</v>
      </c>
      <c r="C7" s="17">
        <v>8</v>
      </c>
      <c r="D7" s="17">
        <v>0.2</v>
      </c>
      <c r="E7" s="10" t="s">
        <v>127</v>
      </c>
    </row>
    <row r="8" spans="1:10" ht="24" customHeight="1" x14ac:dyDescent="0.3">
      <c r="A8" s="16" t="s">
        <v>118</v>
      </c>
      <c r="B8" s="31">
        <v>299.27375909856431</v>
      </c>
      <c r="C8" s="31">
        <v>5.6466270449645082</v>
      </c>
      <c r="D8" s="31">
        <v>7.232629511335488E-2</v>
      </c>
      <c r="E8" s="31">
        <v>135.7661940552168</v>
      </c>
    </row>
    <row r="9" spans="1:10" ht="24" customHeight="1" x14ac:dyDescent="0.3">
      <c r="A9" s="16" t="s">
        <v>119</v>
      </c>
      <c r="B9" s="31">
        <v>89564.782884985514</v>
      </c>
      <c r="C9" s="31">
        <v>31.884396984924617</v>
      </c>
      <c r="D9" s="31">
        <v>5.2310929648241022E-3</v>
      </c>
      <c r="E9" s="31">
        <v>18432.459448238787</v>
      </c>
    </row>
    <row r="10" spans="1:10" ht="24" customHeight="1" x14ac:dyDescent="0.3">
      <c r="A10" s="16" t="s">
        <v>120</v>
      </c>
      <c r="B10" s="31">
        <v>-8.8595231919740502E-2</v>
      </c>
      <c r="C10" s="31">
        <v>-1.2091053826620759</v>
      </c>
      <c r="D10" s="31">
        <v>-1.3257012415855784</v>
      </c>
      <c r="E10" s="31">
        <v>0.26450643813582442</v>
      </c>
    </row>
    <row r="11" spans="1:10" ht="24" customHeight="1" x14ac:dyDescent="0.3">
      <c r="A11" s="16" t="s">
        <v>121</v>
      </c>
      <c r="B11" s="31">
        <v>0.14685796564193557</v>
      </c>
      <c r="C11" s="31">
        <v>6.084586432077814E-2</v>
      </c>
      <c r="D11" s="31">
        <v>9.6827385576684841E-2</v>
      </c>
      <c r="E11" s="31">
        <v>0.57339636063424715</v>
      </c>
    </row>
    <row r="12" spans="1:10" ht="24" customHeight="1" x14ac:dyDescent="0.3">
      <c r="A12" s="16" t="s">
        <v>122</v>
      </c>
      <c r="B12" s="17">
        <v>1665.15</v>
      </c>
      <c r="C12" s="17">
        <v>18</v>
      </c>
      <c r="D12" s="17">
        <v>0.2</v>
      </c>
      <c r="E12" s="17">
        <v>704.83</v>
      </c>
    </row>
    <row r="13" spans="1:10" ht="24" customHeight="1" x14ac:dyDescent="0.3">
      <c r="A13" s="16" t="s">
        <v>123</v>
      </c>
      <c r="B13" s="17">
        <v>258.51</v>
      </c>
      <c r="C13" s="17">
        <v>1</v>
      </c>
      <c r="D13" s="17">
        <v>0</v>
      </c>
      <c r="E13" s="17">
        <v>64.63</v>
      </c>
    </row>
    <row r="14" spans="1:10" ht="24" customHeight="1" x14ac:dyDescent="0.3">
      <c r="A14" s="16" t="s">
        <v>124</v>
      </c>
      <c r="B14" s="17">
        <v>1923.66</v>
      </c>
      <c r="C14" s="17">
        <v>19</v>
      </c>
      <c r="D14" s="17">
        <v>0.2</v>
      </c>
      <c r="E14" s="17">
        <v>769.46</v>
      </c>
    </row>
    <row r="15" spans="1:10" ht="24" customHeight="1" x14ac:dyDescent="0.3">
      <c r="A15" s="16" t="s">
        <v>125</v>
      </c>
      <c r="B15" s="17">
        <v>195217.75999999992</v>
      </c>
      <c r="C15" s="17">
        <v>1999</v>
      </c>
      <c r="D15" s="17">
        <v>19.45</v>
      </c>
      <c r="E15" s="17">
        <v>68287.010000000009</v>
      </c>
    </row>
    <row r="16" spans="1:10" ht="24" customHeight="1" x14ac:dyDescent="0.3">
      <c r="A16" s="16" t="s">
        <v>126</v>
      </c>
      <c r="B16" s="17">
        <v>200</v>
      </c>
      <c r="C16" s="17">
        <v>200</v>
      </c>
      <c r="D16" s="17">
        <v>200</v>
      </c>
      <c r="E16" s="17">
        <v>200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4359-461A-43DD-B6ED-394FE1B10FF3}">
  <dimension ref="A1:D39"/>
  <sheetViews>
    <sheetView workbookViewId="0">
      <selection activeCell="M1" sqref="M1"/>
    </sheetView>
  </sheetViews>
  <sheetFormatPr defaultRowHeight="14.4" x14ac:dyDescent="0.3"/>
  <cols>
    <col min="1" max="1" width="13.6640625" customWidth="1"/>
    <col min="2" max="2" width="12.88671875" customWidth="1"/>
    <col min="3" max="3" width="11.44140625" customWidth="1"/>
    <col min="4" max="4" width="11.77734375" customWidth="1"/>
  </cols>
  <sheetData>
    <row r="1" spans="1:4" ht="23.4" x14ac:dyDescent="0.45">
      <c r="A1" s="60" t="s">
        <v>148</v>
      </c>
      <c r="B1" s="60"/>
      <c r="C1" s="60"/>
      <c r="D1" s="60"/>
    </row>
    <row r="3" spans="1:4" s="36" customFormat="1" ht="25.8" customHeight="1" x14ac:dyDescent="0.3">
      <c r="A3" s="30" t="s">
        <v>129</v>
      </c>
      <c r="B3" s="30" t="s">
        <v>76</v>
      </c>
      <c r="C3" s="30" t="s">
        <v>130</v>
      </c>
      <c r="D3" s="30" t="s">
        <v>131</v>
      </c>
    </row>
    <row r="4" spans="1:4" ht="21" customHeight="1" x14ac:dyDescent="0.3">
      <c r="A4" s="37">
        <f>DATE(YEAR(MIN(Dataset_Clean!$H$2:$H$201)),MONTH(MIN(Dataset_Clean!$H$2:$H$201)),1)</f>
        <v>45383</v>
      </c>
      <c r="B4" s="17">
        <f>SUMIFS(Dataset_Clean!$E$2:$E$201,Dataset_Clean!$H$2:$H$201,"&gt;="&amp;A4,Dataset_Clean!$H$2:$H$201,"&lt;"&amp;EDATE(A4,1))</f>
        <v>19029.96</v>
      </c>
      <c r="C4" s="10" t="s">
        <v>127</v>
      </c>
      <c r="D4" s="10" t="s">
        <v>127</v>
      </c>
    </row>
    <row r="5" spans="1:4" ht="21" customHeight="1" x14ac:dyDescent="0.3">
      <c r="A5" s="37">
        <f>EDATE(A4,1)</f>
        <v>45413</v>
      </c>
      <c r="B5" s="17">
        <f>SUMIFS(Dataset_Clean!$E$2:$E$201,Dataset_Clean!$H$2:$H$201,"&gt;="&amp;A5,Dataset_Clean!$H$2:$H$201,"&lt;"&amp;EDATE(A5,1))</f>
        <v>18507.339999999997</v>
      </c>
      <c r="C5" s="31">
        <f>(B5-B4)/B4</f>
        <v>-2.7463010957458799E-2</v>
      </c>
      <c r="D5" s="38" t="str">
        <f>IF(C5&gt;0,"↑",IF(C5&lt;0,"↓","→"))</f>
        <v>↓</v>
      </c>
    </row>
    <row r="6" spans="1:4" ht="21" customHeight="1" x14ac:dyDescent="0.3">
      <c r="A6" s="37">
        <f t="shared" ref="A6:A16" si="0">EDATE(A5,1)</f>
        <v>45444</v>
      </c>
      <c r="B6" s="17">
        <f>SUMIFS(Dataset_Clean!$E$2:$E$201,Dataset_Clean!$H$2:$H$201,"&gt;="&amp;A6,Dataset_Clean!$H$2:$H$201,"&lt;"&amp;EDATE(A6,1))</f>
        <v>20187.509999999998</v>
      </c>
      <c r="C6" s="31">
        <f t="shared" ref="C6:C16" si="1">(B6-B5)/B5</f>
        <v>9.0783980842195702E-2</v>
      </c>
      <c r="D6" s="39" t="str">
        <f t="shared" ref="D6:D16" si="2">IF(C6&gt;0,"↑",IF(C6&lt;0,"↓","→"))</f>
        <v>↑</v>
      </c>
    </row>
    <row r="7" spans="1:4" ht="21" customHeight="1" x14ac:dyDescent="0.3">
      <c r="A7" s="37">
        <f t="shared" si="0"/>
        <v>45474</v>
      </c>
      <c r="B7" s="17">
        <f>SUMIFS(Dataset_Clean!$E$2:$E$201,Dataset_Clean!$H$2:$H$201,"&gt;="&amp;A7,Dataset_Clean!$H$2:$H$201,"&lt;"&amp;EDATE(A7,1))</f>
        <v>11609.039999999999</v>
      </c>
      <c r="C7" s="31">
        <f t="shared" si="1"/>
        <v>-0.42493947990614001</v>
      </c>
      <c r="D7" s="38" t="str">
        <f t="shared" si="2"/>
        <v>↓</v>
      </c>
    </row>
    <row r="8" spans="1:4" ht="21" customHeight="1" x14ac:dyDescent="0.3">
      <c r="A8" s="37">
        <f t="shared" si="0"/>
        <v>45505</v>
      </c>
      <c r="B8" s="17">
        <f>SUMIFS(Dataset_Clean!$E$2:$E$201,Dataset_Clean!$H$2:$H$201,"&gt;="&amp;A8,Dataset_Clean!$H$2:$H$201,"&lt;"&amp;EDATE(A8,1))</f>
        <v>10091.699999999999</v>
      </c>
      <c r="C8" s="31">
        <f t="shared" si="1"/>
        <v>-0.13070331396911375</v>
      </c>
      <c r="D8" s="38" t="str">
        <f t="shared" si="2"/>
        <v>↓</v>
      </c>
    </row>
    <row r="9" spans="1:4" ht="21" customHeight="1" x14ac:dyDescent="0.3">
      <c r="A9" s="37">
        <f t="shared" si="0"/>
        <v>45536</v>
      </c>
      <c r="B9" s="17">
        <f>SUMIFS(Dataset_Clean!$E$2:$E$201,Dataset_Clean!$H$2:$H$201,"&gt;="&amp;A9,Dataset_Clean!$H$2:$H$201,"&lt;"&amp;EDATE(A9,1))</f>
        <v>20533.499999999996</v>
      </c>
      <c r="C9" s="31">
        <f t="shared" si="1"/>
        <v>1.0346918755016496</v>
      </c>
      <c r="D9" s="39" t="str">
        <f t="shared" si="2"/>
        <v>↑</v>
      </c>
    </row>
    <row r="10" spans="1:4" ht="21" customHeight="1" x14ac:dyDescent="0.3">
      <c r="A10" s="37">
        <f t="shared" si="0"/>
        <v>45566</v>
      </c>
      <c r="B10" s="17">
        <f>SUMIFS(Dataset_Clean!$E$2:$E$201,Dataset_Clean!$H$2:$H$201,"&gt;="&amp;A10,Dataset_Clean!$H$2:$H$201,"&lt;"&amp;EDATE(A10,1))</f>
        <v>14215.240000000002</v>
      </c>
      <c r="C10" s="31">
        <f t="shared" si="1"/>
        <v>-0.30770496992719193</v>
      </c>
      <c r="D10" s="38" t="str">
        <f t="shared" si="2"/>
        <v>↓</v>
      </c>
    </row>
    <row r="11" spans="1:4" ht="21" customHeight="1" x14ac:dyDescent="0.3">
      <c r="A11" s="37">
        <f t="shared" si="0"/>
        <v>45597</v>
      </c>
      <c r="B11" s="17">
        <f>SUMIFS(Dataset_Clean!$E$2:$E$201,Dataset_Clean!$H$2:$H$201,"&gt;="&amp;A11,Dataset_Clean!$H$2:$H$201,"&lt;"&amp;EDATE(A11,1))</f>
        <v>20135.030000000002</v>
      </c>
      <c r="C11" s="31">
        <f t="shared" si="1"/>
        <v>0.4164396802305132</v>
      </c>
      <c r="D11" s="39" t="str">
        <f t="shared" si="2"/>
        <v>↑</v>
      </c>
    </row>
    <row r="12" spans="1:4" ht="21" customHeight="1" x14ac:dyDescent="0.3">
      <c r="A12" s="37">
        <f t="shared" si="0"/>
        <v>45627</v>
      </c>
      <c r="B12" s="17">
        <f>SUMIFS(Dataset_Clean!$E$2:$E$201,Dataset_Clean!$H$2:$H$201,"&gt;="&amp;A12,Dataset_Clean!$H$2:$H$201,"&lt;"&amp;EDATE(A12,1))</f>
        <v>11120.04</v>
      </c>
      <c r="C12" s="31">
        <f t="shared" si="1"/>
        <v>-0.44772667336477773</v>
      </c>
      <c r="D12" s="38" t="str">
        <f t="shared" si="2"/>
        <v>↓</v>
      </c>
    </row>
    <row r="13" spans="1:4" ht="21" customHeight="1" x14ac:dyDescent="0.3">
      <c r="A13" s="37">
        <f t="shared" si="0"/>
        <v>45658</v>
      </c>
      <c r="B13" s="17">
        <f>SUMIFS(Dataset_Clean!$E$2:$E$201,Dataset_Clean!$H$2:$H$201,"&gt;="&amp;A13,Dataset_Clean!$H$2:$H$201,"&lt;"&amp;EDATE(A13,1))</f>
        <v>14914.650000000001</v>
      </c>
      <c r="C13" s="31">
        <f t="shared" si="1"/>
        <v>0.34124067899036337</v>
      </c>
      <c r="D13" s="39" t="str">
        <f t="shared" si="2"/>
        <v>↑</v>
      </c>
    </row>
    <row r="14" spans="1:4" ht="21" customHeight="1" x14ac:dyDescent="0.3">
      <c r="A14" s="37">
        <f t="shared" si="0"/>
        <v>45689</v>
      </c>
      <c r="B14" s="17">
        <f>SUMIFS(Dataset_Clean!$E$2:$E$201,Dataset_Clean!$H$2:$H$201,"&gt;="&amp;A14,Dataset_Clean!$H$2:$H$201,"&lt;"&amp;EDATE(A14,1))</f>
        <v>14006.359999999999</v>
      </c>
      <c r="C14" s="31">
        <f t="shared" si="1"/>
        <v>-6.0899183018039482E-2</v>
      </c>
      <c r="D14" s="38" t="str">
        <f t="shared" si="2"/>
        <v>↓</v>
      </c>
    </row>
    <row r="15" spans="1:4" ht="21" customHeight="1" x14ac:dyDescent="0.3">
      <c r="A15" s="37">
        <f t="shared" si="0"/>
        <v>45717</v>
      </c>
      <c r="B15" s="17">
        <f>SUMIFS(Dataset_Clean!$E$2:$E$201,Dataset_Clean!$H$2:$H$201,"&gt;="&amp;A15,Dataset_Clean!$H$2:$H$201,"&lt;"&amp;EDATE(A15,1))</f>
        <v>17655.219999999998</v>
      </c>
      <c r="C15" s="31">
        <f t="shared" si="1"/>
        <v>0.26051450912299834</v>
      </c>
      <c r="D15" s="39" t="str">
        <f t="shared" si="2"/>
        <v>↑</v>
      </c>
    </row>
    <row r="16" spans="1:4" ht="21" customHeight="1" x14ac:dyDescent="0.3">
      <c r="A16" s="37">
        <f t="shared" si="0"/>
        <v>45748</v>
      </c>
      <c r="B16" s="17">
        <f>SUMIFS(Dataset_Clean!$E$2:$E$201,Dataset_Clean!$H$2:$H$201,"&gt;="&amp;A16,Dataset_Clean!$H$2:$H$201,"&lt;"&amp;EDATE(A16,1))</f>
        <v>3212.17</v>
      </c>
      <c r="C16" s="31">
        <f t="shared" si="1"/>
        <v>-0.81806117397574196</v>
      </c>
      <c r="D16" s="38" t="str">
        <f t="shared" si="2"/>
        <v>↓</v>
      </c>
    </row>
    <row r="17" spans="1:1" x14ac:dyDescent="0.3">
      <c r="A17" s="35"/>
    </row>
    <row r="18" spans="1:1" x14ac:dyDescent="0.3">
      <c r="A18" s="35"/>
    </row>
    <row r="19" spans="1:1" x14ac:dyDescent="0.3">
      <c r="A19" s="35"/>
    </row>
    <row r="20" spans="1:1" x14ac:dyDescent="0.3">
      <c r="A20" s="35"/>
    </row>
    <row r="21" spans="1:1" x14ac:dyDescent="0.3">
      <c r="A21" s="35"/>
    </row>
    <row r="22" spans="1:1" x14ac:dyDescent="0.3">
      <c r="A22" s="35"/>
    </row>
    <row r="23" spans="1:1" x14ac:dyDescent="0.3">
      <c r="A23" s="35"/>
    </row>
    <row r="24" spans="1:1" x14ac:dyDescent="0.3">
      <c r="A24" s="35"/>
    </row>
    <row r="25" spans="1:1" x14ac:dyDescent="0.3">
      <c r="A25" s="35"/>
    </row>
    <row r="26" spans="1:1" x14ac:dyDescent="0.3">
      <c r="A26" s="35"/>
    </row>
    <row r="27" spans="1:1" x14ac:dyDescent="0.3">
      <c r="A27" s="35"/>
    </row>
    <row r="28" spans="1:1" x14ac:dyDescent="0.3">
      <c r="A28" s="35"/>
    </row>
    <row r="29" spans="1:1" x14ac:dyDescent="0.3">
      <c r="A29" s="35"/>
    </row>
    <row r="30" spans="1:1" x14ac:dyDescent="0.3">
      <c r="A30" s="35"/>
    </row>
    <row r="31" spans="1:1" x14ac:dyDescent="0.3">
      <c r="A31" s="35"/>
    </row>
    <row r="32" spans="1:1" x14ac:dyDescent="0.3">
      <c r="A32" s="35"/>
    </row>
    <row r="33" spans="1:1" x14ac:dyDescent="0.3">
      <c r="A33" s="35"/>
    </row>
    <row r="34" spans="1:1" x14ac:dyDescent="0.3">
      <c r="A34" s="35"/>
    </row>
    <row r="35" spans="1:1" x14ac:dyDescent="0.3">
      <c r="A35" s="35"/>
    </row>
    <row r="36" spans="1:1" x14ac:dyDescent="0.3">
      <c r="A36" s="35"/>
    </row>
    <row r="37" spans="1:1" x14ac:dyDescent="0.3">
      <c r="A37" s="35"/>
    </row>
    <row r="38" spans="1:1" x14ac:dyDescent="0.3">
      <c r="A38" s="35"/>
    </row>
    <row r="39" spans="1:1" x14ac:dyDescent="0.3">
      <c r="A39" s="35"/>
    </row>
  </sheetData>
  <mergeCells count="1">
    <mergeCell ref="A1:D1"/>
  </mergeCells>
  <conditionalFormatting sqref="D5">
    <cfRule type="iconSet" priority="1">
      <iconSet iconSet="3ArrowsGray">
        <cfvo type="percent" val="0"/>
        <cfvo type="percent" val="33"/>
        <cfvo type="percent" val="67"/>
      </iconSet>
    </cfRule>
  </conditionalFormatting>
  <conditionalFormatting sqref="D5:D16"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{12FD3740-7111-4A88-A249-DAAF11B03D72}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FD3740-7111-4A88-A249-DAAF11B03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D576-4E5A-4A54-9121-C28DAA67A3E4}">
  <dimension ref="A1:O31"/>
  <sheetViews>
    <sheetView zoomScale="85" zoomScaleNormal="85" workbookViewId="0">
      <selection activeCell="S1" sqref="S1"/>
    </sheetView>
  </sheetViews>
  <sheetFormatPr defaultRowHeight="14.4" x14ac:dyDescent="0.3"/>
  <cols>
    <col min="1" max="2" width="11.6640625" bestFit="1" customWidth="1"/>
    <col min="3" max="3" width="9" bestFit="1" customWidth="1"/>
    <col min="4" max="4" width="20.21875" bestFit="1" customWidth="1"/>
    <col min="5" max="5" width="11.6640625" bestFit="1" customWidth="1"/>
    <col min="6" max="6" width="13.5546875" bestFit="1" customWidth="1"/>
    <col min="7" max="7" width="10.77734375" bestFit="1" customWidth="1"/>
    <col min="8" max="8" width="9" bestFit="1" customWidth="1"/>
    <col min="9" max="9" width="13.5546875" bestFit="1" customWidth="1"/>
    <col min="10" max="10" width="10.77734375" bestFit="1" customWidth="1"/>
    <col min="11" max="11" width="11.6640625" bestFit="1" customWidth="1"/>
    <col min="12" max="33" width="7" bestFit="1" customWidth="1"/>
    <col min="34" max="34" width="6" bestFit="1" customWidth="1"/>
    <col min="35" max="53" width="7" bestFit="1" customWidth="1"/>
    <col min="54" max="54" width="6" bestFit="1" customWidth="1"/>
    <col min="55" max="69" width="7" bestFit="1" customWidth="1"/>
    <col min="70" max="70" width="6" bestFit="1" customWidth="1"/>
    <col min="71" max="79" width="7" bestFit="1" customWidth="1"/>
    <col min="80" max="80" width="4" bestFit="1" customWidth="1"/>
    <col min="81" max="82" width="7" bestFit="1" customWidth="1"/>
    <col min="83" max="83" width="6" bestFit="1" customWidth="1"/>
    <col min="84" max="86" width="7" bestFit="1" customWidth="1"/>
    <col min="87" max="87" width="6" bestFit="1" customWidth="1"/>
    <col min="88" max="102" width="7" bestFit="1" customWidth="1"/>
    <col min="103" max="104" width="6" bestFit="1" customWidth="1"/>
    <col min="105" max="107" width="7" bestFit="1" customWidth="1"/>
    <col min="108" max="108" width="6" bestFit="1" customWidth="1"/>
    <col min="109" max="111" width="7" bestFit="1" customWidth="1"/>
    <col min="112" max="112" width="6" bestFit="1" customWidth="1"/>
    <col min="113" max="116" width="7" bestFit="1" customWidth="1"/>
    <col min="117" max="128" width="8" bestFit="1" customWidth="1"/>
    <col min="129" max="130" width="7" bestFit="1" customWidth="1"/>
    <col min="131" max="143" width="8" bestFit="1" customWidth="1"/>
    <col min="144" max="144" width="7" bestFit="1" customWidth="1"/>
    <col min="145" max="166" width="8" bestFit="1" customWidth="1"/>
    <col min="167" max="167" width="7" bestFit="1" customWidth="1"/>
    <col min="168" max="175" width="8" bestFit="1" customWidth="1"/>
    <col min="176" max="176" width="7" bestFit="1" customWidth="1"/>
    <col min="177" max="191" width="8" bestFit="1" customWidth="1"/>
    <col min="192" max="192" width="7" bestFit="1" customWidth="1"/>
    <col min="193" max="203" width="8" bestFit="1" customWidth="1"/>
    <col min="204" max="204" width="7" bestFit="1" customWidth="1"/>
    <col min="205" max="210" width="8" bestFit="1" customWidth="1"/>
    <col min="211" max="211" width="10.77734375" bestFit="1" customWidth="1"/>
    <col min="212" max="213" width="15.5546875" bestFit="1" customWidth="1"/>
    <col min="214" max="214" width="18.33203125" bestFit="1" customWidth="1"/>
    <col min="215" max="215" width="10.77734375" bestFit="1" customWidth="1"/>
  </cols>
  <sheetData>
    <row r="1" spans="1:15" ht="25.8" x14ac:dyDescent="0.5">
      <c r="A1" s="59" t="s">
        <v>149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5" spans="1:15" x14ac:dyDescent="0.3">
      <c r="A5" s="47" t="s">
        <v>132</v>
      </c>
      <c r="B5" s="47" t="s">
        <v>140</v>
      </c>
      <c r="C5" s="17"/>
      <c r="D5" s="17"/>
      <c r="E5" s="17"/>
      <c r="F5" s="17"/>
      <c r="G5" s="17"/>
    </row>
    <row r="6" spans="1:15" x14ac:dyDescent="0.3">
      <c r="A6" s="47" t="s">
        <v>2</v>
      </c>
      <c r="B6" s="17" t="s">
        <v>12</v>
      </c>
      <c r="C6" s="17" t="s">
        <v>15</v>
      </c>
      <c r="D6" s="17" t="s">
        <v>21</v>
      </c>
      <c r="E6" s="17" t="s">
        <v>27</v>
      </c>
      <c r="F6" s="17" t="s">
        <v>39</v>
      </c>
      <c r="G6" s="17" t="s">
        <v>133</v>
      </c>
    </row>
    <row r="7" spans="1:15" x14ac:dyDescent="0.3">
      <c r="A7" s="17" t="s">
        <v>34</v>
      </c>
      <c r="B7" s="17">
        <v>11297.150000000001</v>
      </c>
      <c r="C7" s="17">
        <v>12200.26</v>
      </c>
      <c r="D7" s="17">
        <v>6621.24</v>
      </c>
      <c r="E7" s="17">
        <v>4876.96</v>
      </c>
      <c r="F7" s="17">
        <v>8472.7199999999993</v>
      </c>
      <c r="G7" s="17">
        <v>43468.33</v>
      </c>
    </row>
    <row r="8" spans="1:15" x14ac:dyDescent="0.3">
      <c r="A8" s="17" t="s">
        <v>18</v>
      </c>
      <c r="B8" s="17">
        <v>11389.090000000002</v>
      </c>
      <c r="C8" s="17">
        <v>2401.4499999999998</v>
      </c>
      <c r="D8" s="17">
        <v>2869.54</v>
      </c>
      <c r="E8" s="17">
        <v>7592.3399999999992</v>
      </c>
      <c r="F8" s="17">
        <v>8189.2200000000012</v>
      </c>
      <c r="G8" s="17">
        <v>32441.640000000003</v>
      </c>
    </row>
    <row r="9" spans="1:15" x14ac:dyDescent="0.3">
      <c r="A9" s="17" t="s">
        <v>24</v>
      </c>
      <c r="B9" s="17">
        <v>8037.0100000000011</v>
      </c>
      <c r="C9" s="17">
        <v>8422.82</v>
      </c>
      <c r="D9" s="17">
        <v>8191.7099999999991</v>
      </c>
      <c r="E9" s="17">
        <v>6978.08</v>
      </c>
      <c r="F9" s="17">
        <v>3345.8</v>
      </c>
      <c r="G9" s="17">
        <v>34975.420000000006</v>
      </c>
    </row>
    <row r="10" spans="1:15" x14ac:dyDescent="0.3">
      <c r="A10" s="17" t="s">
        <v>20</v>
      </c>
      <c r="B10" s="17">
        <v>9588.0400000000009</v>
      </c>
      <c r="C10" s="17">
        <v>8393.630000000001</v>
      </c>
      <c r="D10" s="17">
        <v>11989.070000000003</v>
      </c>
      <c r="E10" s="17">
        <v>7982.73</v>
      </c>
      <c r="F10" s="17">
        <v>2295.3199999999997</v>
      </c>
      <c r="G10" s="17">
        <v>40248.79</v>
      </c>
    </row>
    <row r="11" spans="1:15" x14ac:dyDescent="0.3">
      <c r="A11" s="17" t="s">
        <v>11</v>
      </c>
      <c r="B11" s="17">
        <v>6691.17</v>
      </c>
      <c r="C11" s="17">
        <v>10509.429999999998</v>
      </c>
      <c r="D11" s="17">
        <v>11372.44</v>
      </c>
      <c r="E11" s="17">
        <v>9182.7800000000007</v>
      </c>
      <c r="F11" s="17">
        <v>6327.76</v>
      </c>
      <c r="G11" s="17">
        <v>44083.58</v>
      </c>
    </row>
    <row r="12" spans="1:15" x14ac:dyDescent="0.3">
      <c r="A12" s="17" t="s">
        <v>133</v>
      </c>
      <c r="B12" s="17">
        <v>47002.460000000006</v>
      </c>
      <c r="C12" s="17">
        <v>41927.589999999997</v>
      </c>
      <c r="D12" s="17">
        <v>41044</v>
      </c>
      <c r="E12" s="17">
        <v>36612.89</v>
      </c>
      <c r="F12" s="17">
        <v>28630.82</v>
      </c>
      <c r="G12" s="17">
        <v>195217.76</v>
      </c>
    </row>
    <row r="23" spans="1:5" x14ac:dyDescent="0.3">
      <c r="D23" s="41"/>
      <c r="E23" s="41"/>
    </row>
    <row r="24" spans="1:5" x14ac:dyDescent="0.3">
      <c r="A24" s="42" t="s">
        <v>2</v>
      </c>
      <c r="B24" s="42" t="s">
        <v>132</v>
      </c>
      <c r="D24" s="47" t="s">
        <v>139</v>
      </c>
      <c r="E24" s="17" t="s">
        <v>132</v>
      </c>
    </row>
    <row r="25" spans="1:5" x14ac:dyDescent="0.3">
      <c r="A25" s="44" t="s">
        <v>34</v>
      </c>
      <c r="B25" s="44">
        <v>43468.33</v>
      </c>
      <c r="D25" s="51" t="s">
        <v>12</v>
      </c>
      <c r="E25" s="51">
        <v>47002.460000000006</v>
      </c>
    </row>
    <row r="26" spans="1:5" x14ac:dyDescent="0.3">
      <c r="A26" s="45" t="s">
        <v>18</v>
      </c>
      <c r="B26" s="45">
        <v>32441.64</v>
      </c>
      <c r="D26" s="49" t="s">
        <v>15</v>
      </c>
      <c r="E26" s="49">
        <v>41927.589999999989</v>
      </c>
    </row>
    <row r="27" spans="1:5" x14ac:dyDescent="0.3">
      <c r="A27" s="45" t="s">
        <v>24</v>
      </c>
      <c r="B27" s="45">
        <v>34975.42</v>
      </c>
      <c r="D27" s="49" t="s">
        <v>21</v>
      </c>
      <c r="E27" s="49">
        <v>41044.000000000007</v>
      </c>
    </row>
    <row r="28" spans="1:5" x14ac:dyDescent="0.3">
      <c r="A28" s="45" t="s">
        <v>20</v>
      </c>
      <c r="B28" s="45">
        <v>40248.79</v>
      </c>
      <c r="D28" s="49" t="s">
        <v>27</v>
      </c>
      <c r="E28" s="49">
        <v>36612.89</v>
      </c>
    </row>
    <row r="29" spans="1:5" x14ac:dyDescent="0.3">
      <c r="A29" s="46" t="s">
        <v>11</v>
      </c>
      <c r="B29" s="45">
        <v>44083.58</v>
      </c>
      <c r="D29" s="50" t="s">
        <v>39</v>
      </c>
      <c r="E29" s="49">
        <v>28630.819999999992</v>
      </c>
    </row>
    <row r="30" spans="1:5" x14ac:dyDescent="0.3">
      <c r="A30" s="42" t="s">
        <v>133</v>
      </c>
      <c r="B30" s="43">
        <v>195217.76</v>
      </c>
      <c r="D30" s="17" t="s">
        <v>133</v>
      </c>
      <c r="E30" s="50">
        <v>195217.76</v>
      </c>
    </row>
    <row r="31" spans="1:5" x14ac:dyDescent="0.3">
      <c r="D31" s="41"/>
      <c r="E31" s="41"/>
    </row>
  </sheetData>
  <mergeCells count="1">
    <mergeCell ref="A1:O1"/>
  </mergeCells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296A-07B1-4AFF-9720-EBC5B7A4B17B}">
  <dimension ref="B1:AF40"/>
  <sheetViews>
    <sheetView showGridLines="0" tabSelected="1" zoomScale="63" zoomScaleNormal="63" workbookViewId="0">
      <selection activeCell="AH2" sqref="AH2"/>
    </sheetView>
  </sheetViews>
  <sheetFormatPr defaultRowHeight="14.4" x14ac:dyDescent="0.3"/>
  <cols>
    <col min="1" max="1" width="1.5546875" customWidth="1"/>
    <col min="2" max="2" width="8.88671875" customWidth="1"/>
    <col min="4" max="4" width="12" bestFit="1" customWidth="1"/>
    <col min="5" max="5" width="10.88671875" bestFit="1" customWidth="1"/>
    <col min="6" max="6" width="1.21875" customWidth="1"/>
    <col min="10" max="10" width="1.21875" customWidth="1"/>
    <col min="13" max="13" width="11.6640625" customWidth="1"/>
    <col min="14" max="14" width="1.109375" customWidth="1"/>
    <col min="31" max="31" width="12" bestFit="1" customWidth="1"/>
    <col min="32" max="32" width="10.88671875" bestFit="1" customWidth="1"/>
  </cols>
  <sheetData>
    <row r="1" spans="2:32" s="40" customFormat="1" ht="8.4" customHeight="1" x14ac:dyDescent="0.3">
      <c r="AE1" s="52"/>
      <c r="AF1" s="52"/>
    </row>
    <row r="2" spans="2:32" ht="12" customHeight="1" x14ac:dyDescent="0.3">
      <c r="B2" s="64" t="s">
        <v>143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AE2" s="48" t="s">
        <v>141</v>
      </c>
      <c r="AF2" s="48" t="s">
        <v>76</v>
      </c>
    </row>
    <row r="3" spans="2:32" ht="21" customHeight="1" x14ac:dyDescent="0.3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AE3" s="48" t="str">
        <f>INDEX('Customer Analysis'!$A$2:$A$31,MATCH(ROW(A1),'Customer Analysis'!$F$2:$F$31,0))</f>
        <v>CUST015</v>
      </c>
      <c r="AF3" s="48">
        <f>INDEX('Customer Analysis'!$B$2:$B$31,MATCH(ROW(A1),'Customer Analysis'!$F$2:$F$31,0))</f>
        <v>11611.060000000001</v>
      </c>
    </row>
    <row r="4" spans="2:32" ht="14.4" customHeight="1" x14ac:dyDescent="0.3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AE4" s="48" t="str">
        <f>INDEX('Customer Analysis'!$A$2:$A$31,MATCH(ROW(A2),'Customer Analysis'!$F$2:$F$31,0))</f>
        <v>CUST028</v>
      </c>
      <c r="AF4" s="48">
        <f>INDEX('Customer Analysis'!$B$2:$B$31,MATCH(ROW(A2),'Customer Analysis'!$F$2:$F$31,0))</f>
        <v>10293.870000000001</v>
      </c>
    </row>
    <row r="5" spans="2:32" ht="21" x14ac:dyDescent="0.3">
      <c r="B5" s="65" t="s">
        <v>134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AE5" s="48" t="str">
        <f>INDEX('Customer Analysis'!$A$2:$A$31,MATCH(ROW(A3),'Customer Analysis'!$F$2:$F$31,0))</f>
        <v>CUST007</v>
      </c>
      <c r="AF5" s="48">
        <f>INDEX('Customer Analysis'!$B$2:$B$31,MATCH(ROW(A3),'Customer Analysis'!$F$2:$F$31,0))</f>
        <v>9941.8799999999992</v>
      </c>
    </row>
    <row r="6" spans="2:32" ht="15" thickBot="1" x14ac:dyDescent="0.35">
      <c r="AE6" s="48" t="str">
        <f>INDEX('Customer Analysis'!$A$2:$A$31,MATCH(ROW(A4),'Customer Analysis'!$F$2:$F$31,0))</f>
        <v>CUST008</v>
      </c>
      <c r="AF6" s="48">
        <f>INDEX('Customer Analysis'!$B$2:$B$31,MATCH(ROW(A4),'Customer Analysis'!$F$2:$F$31,0))</f>
        <v>9760.7999999999993</v>
      </c>
    </row>
    <row r="7" spans="2:32" ht="21" x14ac:dyDescent="0.4">
      <c r="C7" s="69" t="s">
        <v>135</v>
      </c>
      <c r="D7" s="70"/>
      <c r="E7" s="71"/>
      <c r="G7" s="69" t="s">
        <v>136</v>
      </c>
      <c r="H7" s="70"/>
      <c r="I7" s="71"/>
      <c r="K7" s="69" t="s">
        <v>137</v>
      </c>
      <c r="L7" s="70"/>
      <c r="M7" s="71"/>
      <c r="O7" s="69" t="s">
        <v>138</v>
      </c>
      <c r="P7" s="70"/>
      <c r="Q7" s="71"/>
      <c r="AE7" s="48" t="str">
        <f>INDEX('Customer Analysis'!$A$2:$A$31,MATCH(ROW(A5),'Customer Analysis'!$F$2:$F$31,0))</f>
        <v>CUST026</v>
      </c>
      <c r="AF7" s="48">
        <f>INDEX('Customer Analysis'!$B$2:$B$31,MATCH(ROW(A5),'Customer Analysis'!$F$2:$F$31,0))</f>
        <v>9371.81</v>
      </c>
    </row>
    <row r="8" spans="2:32" ht="34.799999999999997" customHeight="1" x14ac:dyDescent="0.3">
      <c r="C8" s="66">
        <f>SUM(Dataset_Clean!E2:E201)</f>
        <v>195217.75999999992</v>
      </c>
      <c r="D8" s="67"/>
      <c r="E8" s="68"/>
      <c r="G8" s="66">
        <f>SUM(Dataset_Clean!I2:I201)</f>
        <v>68287.010000000009</v>
      </c>
      <c r="H8" s="67"/>
      <c r="I8" s="68"/>
      <c r="K8" s="72">
        <f>SUM(Dataset_Clean!F2:F201)</f>
        <v>1999</v>
      </c>
      <c r="L8" s="73"/>
      <c r="M8" s="74"/>
      <c r="O8" s="72">
        <f>COUNTA(Dataset_Clean!A2:A201)</f>
        <v>200</v>
      </c>
      <c r="P8" s="73"/>
      <c r="Q8" s="74"/>
      <c r="AE8" s="48" t="str">
        <f>INDEX('Customer Analysis'!$A$2:$A$31,MATCH(ROW(A6),'Customer Analysis'!$F$2:$F$31,0))</f>
        <v>CUST021</v>
      </c>
      <c r="AF8" s="48">
        <f>INDEX('Customer Analysis'!$B$2:$B$31,MATCH(ROW(A6),'Customer Analysis'!$F$2:$F$31,0))</f>
        <v>8740.18</v>
      </c>
    </row>
    <row r="9" spans="2:32" x14ac:dyDescent="0.3">
      <c r="AE9" s="48" t="str">
        <f>INDEX('Customer Analysis'!$A$2:$A$31,MATCH(ROW(A7),'Customer Analysis'!$F$2:$F$31,0))</f>
        <v>CUST003</v>
      </c>
      <c r="AF9" s="48">
        <f>INDEX('Customer Analysis'!$B$2:$B$31,MATCH(ROW(A7),'Customer Analysis'!$F$2:$F$31,0))</f>
        <v>8490.18</v>
      </c>
    </row>
    <row r="10" spans="2:32" x14ac:dyDescent="0.3">
      <c r="AE10" s="48" t="str">
        <f>INDEX('Customer Analysis'!$A$2:$A$31,MATCH(ROW(A8),'Customer Analysis'!$F$2:$F$31,0))</f>
        <v>CUST012</v>
      </c>
      <c r="AF10" s="48">
        <f>INDEX('Customer Analysis'!$B$2:$B$31,MATCH(ROW(A8),'Customer Analysis'!$F$2:$F$31,0))</f>
        <v>8339</v>
      </c>
    </row>
    <row r="11" spans="2:32" x14ac:dyDescent="0.3">
      <c r="AE11" s="48" t="str">
        <f>INDEX('Customer Analysis'!$A$2:$A$31,MATCH(ROW(A9),'Customer Analysis'!$F$2:$F$31,0))</f>
        <v>CUST030</v>
      </c>
      <c r="AF11" s="48">
        <f>INDEX('Customer Analysis'!$B$2:$B$31,MATCH(ROW(A9),'Customer Analysis'!$F$2:$F$31,0))</f>
        <v>7928.71</v>
      </c>
    </row>
    <row r="12" spans="2:32" x14ac:dyDescent="0.3">
      <c r="AE12" s="48" t="str">
        <f>INDEX('Customer Analysis'!$A$2:$A$31,MATCH(ROW(A10),'Customer Analysis'!$F$2:$F$31,0))</f>
        <v>CUST004</v>
      </c>
      <c r="AF12" s="48">
        <f>INDEX('Customer Analysis'!$B$2:$B$31,MATCH(ROW(A10),'Customer Analysis'!$F$2:$F$31,0))</f>
        <v>7813.59</v>
      </c>
    </row>
    <row r="40" spans="2:19" x14ac:dyDescent="0.3">
      <c r="B40" s="61" t="s">
        <v>142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3"/>
    </row>
  </sheetData>
  <mergeCells count="11">
    <mergeCell ref="B40:S40"/>
    <mergeCell ref="B2:S4"/>
    <mergeCell ref="B5:S5"/>
    <mergeCell ref="C8:E8"/>
    <mergeCell ref="C7:E7"/>
    <mergeCell ref="O8:Q8"/>
    <mergeCell ref="O7:Q7"/>
    <mergeCell ref="K7:M7"/>
    <mergeCell ref="K8:M8"/>
    <mergeCell ref="G7:I7"/>
    <mergeCell ref="G8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Dataset_Clean</vt:lpstr>
      <vt:lpstr>Customer Analysis</vt:lpstr>
      <vt:lpstr>What-IF Analysis</vt:lpstr>
      <vt:lpstr>Regression</vt:lpstr>
      <vt:lpstr>Descriptive Stats</vt:lpstr>
      <vt:lpstr>Monthly Sales</vt:lpstr>
      <vt:lpstr>Pivot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Iqra Rangrej</cp:lastModifiedBy>
  <dcterms:modified xsi:type="dcterms:W3CDTF">2026-09-28T07:37:35Z</dcterms:modified>
</cp:coreProperties>
</file>